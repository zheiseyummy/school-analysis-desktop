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08b61e0c9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源_示例" sheetId="1" r:id="R3062637404e14f06"/>
    <x:sheet xmlns:r="http://schemas.openxmlformats.org/officeDocument/2006/relationships" name="模板A_综合分析" sheetId="2" r:id="R69d334c7fcfa4e39"/>
    <x:sheet xmlns:r="http://schemas.openxmlformats.org/officeDocument/2006/relationships" name="模板B_趋势变化" sheetId="3" r:id="Rd06cc29418614b09"/>
    <x:sheet xmlns:r="http://schemas.openxmlformats.org/officeDocument/2006/relationships" name="模板C_学科诊断" sheetId="4" r:id="Ra4301aeb85bf448d"/>
    <x:sheet xmlns:r="http://schemas.openxmlformats.org/officeDocument/2006/relationships" name="模板D_家长沟通" sheetId="5" r:id="Ra3e2932c3c914ff3"/>
    <x:sheet xmlns:r="http://schemas.openxmlformats.org/officeDocument/2006/relationships" name="字段映射与导出说明" sheetId="6" r:id="R230d67751411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"/>
    <x:numFmt numFmtId="202" formatCode="+0;-0;0"/>
    <x:numFmt numFmtId="203" formatCode="0.0%"/>
  </x:numFmts>
  <x:fonts count="11">
    <x:font>
      <x:sz val="11"/>
      <x:name val="Carlito"/>
    </x:font>
    <x:font>
      <x:b/>
      <x:sz val="15"/>
      <x:color rgb="FFFFFFFF"/>
      <x:name val="Microsoft YaHei"/>
    </x:font>
    <x:font>
      <x:b/>
      <x:sz val="10"/>
      <x:color rgb="FF17365D"/>
      <x:name val="Microsoft YaHei"/>
    </x:font>
    <x:font>
      <x:b/>
      <x:sz val="10"/>
      <x:color rgb="FFFFFFFF"/>
      <x:name val="Microsoft YaHei"/>
    </x:font>
    <x:font>
      <x:b/>
      <x:sz val="10"/>
      <x:color rgb="FF1F1F1F"/>
      <x:name val="Microsoft YaHei"/>
    </x:font>
    <x:font>
      <x:sz val="10"/>
      <x:color rgb="FF1F1F1F"/>
      <x:name val="Microsoft YaHei"/>
    </x:font>
    <x:font>
      <x:b/>
      <x:sz val="16"/>
      <x:color rgb="FFFFFFFF"/>
      <x:name val="Microsoft YaHei"/>
    </x:font>
    <x:font>
      <x:b/>
      <x:sz val="12"/>
      <x:color rgb="FF17365D"/>
      <x:name val="Microsoft YaHei"/>
    </x:font>
    <x:font>
      <x:b/>
      <x:sz val="11"/>
      <x:color rgb="FF17365D"/>
      <x:name val="Microsoft YaHei"/>
    </x:font>
    <x:font>
      <x:b/>
      <x:sz val="9"/>
      <x:color rgb="FFFFFFFF"/>
      <x:name val="Microsoft YaHei"/>
    </x:font>
    <x:font>
      <x:i/>
      <x:sz val="8"/>
      <x:color rgb="FF666666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4">
    <x:border/>
    <x:border/>
    <x:border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3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203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202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horizontal="left" vertical="center"/>
    </x:xf>
    <x:xf numFmtId="0" fontId="5" fillId="3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vertical="center"/>
    </x:xf>
    <x:xf numFmtId="0" fontId="8" fillId="3" borderId="3" xfId="0" applyNumberFormat="1" applyFont="1" applyFill="1" applyBorder="1" applyAlignment="1">
      <x:alignment horizontal="left"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/>
    </x:xf>
    <x:xf numFmtId="202" fontId="5" fillId="0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7" borderId="1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1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58f0baa9e4f6a" /><Relationship Type="http://schemas.openxmlformats.org/officeDocument/2006/relationships/theme" Target="/xl/theme/theme1.xml" Id="R3aded04dabea433e" /><Relationship Type="http://schemas.openxmlformats.org/officeDocument/2006/relationships/sharedStrings" Target="/xl/sharedStrings.xml" Id="R9d347567b4ca4792" /><Relationship Type="http://schemas.openxmlformats.org/officeDocument/2006/relationships/worksheet" Target="/xl/worksheets/sheet1.xml" Id="R3062637404e14f06" /><Relationship Type="http://schemas.openxmlformats.org/officeDocument/2006/relationships/worksheet" Target="/xl/worksheets/sheet2.xml" Id="R69d334c7fcfa4e39" /><Relationship Type="http://schemas.openxmlformats.org/officeDocument/2006/relationships/worksheet" Target="/xl/worksheets/sheet3.xml" Id="Rd06cc29418614b09" /><Relationship Type="http://schemas.openxmlformats.org/officeDocument/2006/relationships/worksheet" Target="/xl/worksheets/sheet4.xml" Id="Ra4301aeb85bf448d" /><Relationship Type="http://schemas.openxmlformats.org/officeDocument/2006/relationships/worksheet" Target="/xl/worksheets/sheet5.xml" Id="Ra3e2932c3c914ff3" /><Relationship Type="http://schemas.openxmlformats.org/officeDocument/2006/relationships/worksheet" Target="/xl/worksheets/sheet6.xml" Id="R230d677514114f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</x:cols>
  <x:sheetData>
    <x:row r="1">
      <x:c r="A1" s="27" t="str">
        <x:v>学生个人成绩分析报告｜数据源（示例）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29" t="str">
        <x:v>字段</x:v>
      </x:c>
      <x:c r="B3" s="29" t="str">
        <x:v>值</x:v>
      </x:c>
      <x:c r="C3" s="28"/>
      <x:c r="D3" s="29" t="str">
        <x:v>指标</x:v>
      </x:c>
      <x:c r="E3" s="29" t="str">
        <x:v>结果</x:v>
      </x:c>
      <x:c r="F3" s="28"/>
      <x:c r="G3" s="28"/>
      <x:c r="H3" s="28"/>
      <x:c r="I3" s="28"/>
      <x:c r="J3" s="28"/>
      <x:c r="K3" s="28"/>
    </x:row>
    <x:row r="4">
      <x:c r="A4" s="28" t="str">
        <x:v>姓名</x:v>
      </x:c>
      <x:c r="B4" s="28" t="str">
        <x:v>张三</x:v>
      </x:c>
      <x:c r="C4" s="28"/>
      <x:c r="D4" s="28" t="str">
        <x:v>总分</x:v>
      </x:c>
      <x:c r="E4" s="28" t="n">
        <x:f>SUM(C12:C19)</x:f>
        <x:v>568</x:v>
      </x:c>
      <x:c r="F4" s="28"/>
      <x:c r="G4" s="28"/>
      <x:c r="H4" s="28"/>
      <x:c r="I4" s="28"/>
      <x:c r="J4" s="28"/>
      <x:c r="K4" s="28"/>
    </x:row>
    <x:row r="5">
      <x:c r="A5" s="28" t="str">
        <x:v>班级</x:v>
      </x:c>
      <x:c r="B5" s="28" t="str">
        <x:v>九年级6班</x:v>
      </x:c>
      <x:c r="C5" s="28"/>
      <x:c r="D5" s="28" t="str">
        <x:v>满分</x:v>
      </x:c>
      <x:c r="E5" s="28" t="n">
        <x:f>SUM(B12:B19)</x:f>
        <x:v>680</x:v>
      </x:c>
      <x:c r="F5" s="28"/>
      <x:c r="G5" s="28"/>
      <x:c r="H5" s="28"/>
      <x:c r="I5" s="28"/>
      <x:c r="J5" s="28"/>
      <x:c r="K5" s="28"/>
    </x:row>
    <x:row r="6">
      <x:c r="A6" s="28" t="str">
        <x:v>学号</x:v>
      </x:c>
      <x:c r="B6" s="28" t="str">
        <x:v>20270001</x:v>
      </x:c>
      <x:c r="C6" s="28"/>
      <x:c r="D6" s="28" t="str">
        <x:v>得分率</x:v>
      </x:c>
      <x:c r="E6" s="30" t="n">
        <x:f>IFERROR(E4/E5,0)</x:f>
        <x:v>0.8352941176470589</x:v>
      </x:c>
      <x:c r="F6" s="28"/>
      <x:c r="G6" s="28"/>
      <x:c r="H6" s="28"/>
      <x:c r="I6" s="28"/>
      <x:c r="J6" s="28"/>
      <x:c r="K6" s="28"/>
    </x:row>
    <x:row r="7">
      <x:c r="A7" s="28" t="str">
        <x:v>本次考试</x:v>
      </x:c>
      <x:c r="B7" s="28" t="str">
        <x:v>九月月考</x:v>
      </x:c>
      <x:c r="C7" s="28"/>
      <x:c r="D7" s="28" t="str">
        <x:v>班级排名</x:v>
      </x:c>
      <x:c r="E7" s="28" t="n">
        <x:v>7</x:v>
      </x:c>
      <x:c r="F7" s="28"/>
      <x:c r="G7" s="28"/>
      <x:c r="H7" s="28"/>
      <x:c r="I7" s="28"/>
      <x:c r="J7" s="28"/>
      <x:c r="K7" s="28"/>
    </x:row>
    <x:row r="8">
      <x:c r="A8" s="28" t="str">
        <x:v>班级人数</x:v>
      </x:c>
      <x:c r="B8" s="28" t="n">
        <x:v>51</x:v>
      </x:c>
      <x:c r="C8" s="28"/>
      <x:c r="D8" s="28" t="str">
        <x:v>年级排名</x:v>
      </x:c>
      <x:c r="E8" s="28" t="n">
        <x:v>49</x:v>
      </x:c>
      <x:c r="F8" s="28"/>
      <x:c r="G8" s="28"/>
      <x:c r="H8" s="28"/>
      <x:c r="I8" s="28"/>
      <x:c r="J8" s="28"/>
      <x:c r="K8" s="28"/>
    </x:row>
    <x:row r="9">
      <x:c r="A9" s="28" t="str">
        <x:v>年级人数</x:v>
      </x:c>
      <x:c r="B9" s="28" t="n">
        <x:v>319</x:v>
      </x:c>
      <x:c r="C9" s="28"/>
      <x:c r="D9" s="28" t="str">
        <x:v>较上次年级排名</x:v>
      </x:c>
      <x:c r="E9" s="28" t="n">
        <x:v>13</x:v>
      </x:c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27" t="str">
        <x:v>学科</x:v>
      </x:c>
      <x:c r="B11" s="27" t="str">
        <x:v>满分</x:v>
      </x:c>
      <x:c r="C11" s="27" t="str">
        <x:v>本次成绩</x:v>
      </x:c>
      <x:c r="D11" s="27" t="str">
        <x:v>班级排名</x:v>
      </x:c>
      <x:c r="E11" s="27" t="str">
        <x:v>年级排名</x:v>
      </x:c>
      <x:c r="F11" s="27" t="str">
        <x:v>年级均分</x:v>
      </x:c>
      <x:c r="G11" s="27" t="str">
        <x:v>得分率</x:v>
      </x:c>
      <x:c r="H11" s="27" t="str">
        <x:v>超/低均分</x:v>
      </x:c>
      <x:c r="I11" s="27" t="str">
        <x:v>等级</x:v>
      </x:c>
      <x:c r="J11" s="27" t="str">
        <x:v>上次成绩</x:v>
      </x:c>
      <x:c r="K11" s="27" t="str">
        <x:v>较上次</x:v>
      </x:c>
    </x:row>
    <x:row r="12">
      <x:c r="A12" s="28" t="str">
        <x:v>语文</x:v>
      </x:c>
      <x:c r="B12" s="28" t="n">
        <x:v>120</x:v>
      </x:c>
      <x:c r="C12" s="28" t="n">
        <x:v>96</x:v>
      </x:c>
      <x:c r="D12" s="28" t="n">
        <x:v>8</x:v>
      </x:c>
      <x:c r="E12" s="28" t="n">
        <x:v>42</x:v>
      </x:c>
      <x:c r="F12" s="28" t="n">
        <x:v>91.5</x:v>
      </x:c>
      <x:c r="G12" s="31" t="n">
        <x:f>IFERROR(C12/B12,0)</x:f>
        <x:v>0.8</x:v>
      </x:c>
      <x:c r="H12" s="32" t="n">
        <x:f>C12-F12</x:f>
        <x:v>4.5</x:v>
      </x:c>
      <x:c r="I12" s="28" t="str">
        <x:f>IF(G12&gt;=0.9,"A",IF(G12&gt;=0.8,"B",IF(G12&gt;=0.7,"C",IF(G12&gt;=0.6,"D","E"))))</x:f>
        <x:v>B</x:v>
      </x:c>
      <x:c r="J12" s="28" t="n">
        <x:v>91</x:v>
      </x:c>
      <x:c r="K12" s="33" t="n">
        <x:f>C12-J12</x:f>
        <x:v>5</x:v>
      </x:c>
    </x:row>
    <x:row r="13">
      <x:c r="A13" s="28" t="str">
        <x:v>数学</x:v>
      </x:c>
      <x:c r="B13" s="28" t="n">
        <x:v>120</x:v>
      </x:c>
      <x:c r="C13" s="28" t="n">
        <x:v>108</x:v>
      </x:c>
      <x:c r="D13" s="28" t="n">
        <x:v>3</x:v>
      </x:c>
      <x:c r="E13" s="28" t="n">
        <x:v>18</x:v>
      </x:c>
      <x:c r="F13" s="28" t="n">
        <x:v>89.2</x:v>
      </x:c>
      <x:c r="G13" s="31" t="n">
        <x:f>IFERROR(C13/B13,0)</x:f>
        <x:v>0.9</x:v>
      </x:c>
      <x:c r="H13" s="32" t="n">
        <x:f>C13-F13</x:f>
        <x:v>18.799999999999997</x:v>
      </x:c>
      <x:c r="I13" s="28" t="str">
        <x:f>IF(G13&gt;=0.9,"A",IF(G13&gt;=0.8,"B",IF(G13&gt;=0.7,"C",IF(G13&gt;=0.6,"D","E"))))</x:f>
        <x:v>A</x:v>
      </x:c>
      <x:c r="J13" s="28" t="n">
        <x:v>101</x:v>
      </x:c>
      <x:c r="K13" s="33" t="n">
        <x:f>C13-J13</x:f>
        <x:v>7</x:v>
      </x:c>
    </x:row>
    <x:row r="14">
      <x:c r="A14" s="28" t="str">
        <x:v>英语</x:v>
      </x:c>
      <x:c r="B14" s="28" t="n">
        <x:v>120</x:v>
      </x:c>
      <x:c r="C14" s="28" t="n">
        <x:v>92</x:v>
      </x:c>
      <x:c r="D14" s="28" t="n">
        <x:v>12</x:v>
      </x:c>
      <x:c r="E14" s="28" t="n">
        <x:v>67</x:v>
      </x:c>
      <x:c r="F14" s="28" t="n">
        <x:v>88.4</x:v>
      </x:c>
      <x:c r="G14" s="31" t="n">
        <x:f>IFERROR(C14/B14,0)</x:f>
        <x:v>0.7666666666666667</x:v>
      </x:c>
      <x:c r="H14" s="32" t="n">
        <x:f>C14-F14</x:f>
        <x:v>3.5999999999999943</x:v>
      </x:c>
      <x:c r="I14" s="28" t="str">
        <x:f>IF(G14&gt;=0.9,"A",IF(G14&gt;=0.8,"B",IF(G14&gt;=0.7,"C",IF(G14&gt;=0.6,"D","E"))))</x:f>
        <x:v>C</x:v>
      </x:c>
      <x:c r="J14" s="28" t="n">
        <x:v>95</x:v>
      </x:c>
      <x:c r="K14" s="33" t="n">
        <x:f>C14-J14</x:f>
        <x:v>-3</x:v>
      </x:c>
    </x:row>
    <x:row r="15">
      <x:c r="A15" s="28" t="str">
        <x:v>物理</x:v>
      </x:c>
      <x:c r="B15" s="28" t="n">
        <x:v>80</x:v>
      </x:c>
      <x:c r="C15" s="28" t="n">
        <x:v>69</x:v>
      </x:c>
      <x:c r="D15" s="28" t="n">
        <x:v>5</x:v>
      </x:c>
      <x:c r="E15" s="28" t="n">
        <x:v>31</x:v>
      </x:c>
      <x:c r="F15" s="28" t="n">
        <x:v>61.8</x:v>
      </x:c>
      <x:c r="G15" s="31" t="n">
        <x:f>IFERROR(C15/B15,0)</x:f>
        <x:v>0.8625</x:v>
      </x:c>
      <x:c r="H15" s="32" t="n">
        <x:f>C15-F15</x:f>
        <x:v>7.200000000000003</x:v>
      </x:c>
      <x:c r="I15" s="28" t="str">
        <x:f>IF(G15&gt;=0.9,"A",IF(G15&gt;=0.8,"B",IF(G15&gt;=0.7,"C",IF(G15&gt;=0.6,"D","E"))))</x:f>
        <x:v>B</x:v>
      </x:c>
      <x:c r="J15" s="28" t="n">
        <x:v>63</x:v>
      </x:c>
      <x:c r="K15" s="33" t="n">
        <x:f>C15-J15</x:f>
        <x:v>6</x:v>
      </x:c>
    </x:row>
    <x:row r="16">
      <x:c r="A16" s="28" t="str">
        <x:v>化学</x:v>
      </x:c>
      <x:c r="B16" s="28" t="n">
        <x:v>70</x:v>
      </x:c>
      <x:c r="C16" s="28" t="n">
        <x:v>55</x:v>
      </x:c>
      <x:c r="D16" s="28" t="n">
        <x:v>11</x:v>
      </x:c>
      <x:c r="E16" s="28" t="n">
        <x:v>72</x:v>
      </x:c>
      <x:c r="F16" s="28" t="n">
        <x:v>53.6</x:v>
      </x:c>
      <x:c r="G16" s="31" t="n">
        <x:f>IFERROR(C16/B16,0)</x:f>
        <x:v>0.7857142857142857</x:v>
      </x:c>
      <x:c r="H16" s="32" t="n">
        <x:f>C16-F16</x:f>
        <x:v>1.3999999999999986</x:v>
      </x:c>
      <x:c r="I16" s="28" t="str">
        <x:f>IF(G16&gt;=0.9,"A",IF(G16&gt;=0.8,"B",IF(G16&gt;=0.7,"C",IF(G16&gt;=0.6,"D","E"))))</x:f>
        <x:v>C</x:v>
      </x:c>
      <x:c r="J16" s="28" t="n">
        <x:v>58</x:v>
      </x:c>
      <x:c r="K16" s="33" t="n">
        <x:f>C16-J16</x:f>
        <x:v>-3</x:v>
      </x:c>
    </x:row>
    <x:row r="17">
      <x:c r="A17" s="28" t="str">
        <x:v>道法</x:v>
      </x:c>
      <x:c r="B17" s="28" t="n">
        <x:v>60</x:v>
      </x:c>
      <x:c r="C17" s="28" t="n">
        <x:v>48</x:v>
      </x:c>
      <x:c r="D17" s="28" t="n">
        <x:v>10</x:v>
      </x:c>
      <x:c r="E17" s="28" t="n">
        <x:v>61</x:v>
      </x:c>
      <x:c r="F17" s="28" t="n">
        <x:v>45.1</x:v>
      </x:c>
      <x:c r="G17" s="31" t="n">
        <x:f>IFERROR(C17/B17,0)</x:f>
        <x:v>0.8</x:v>
      </x:c>
      <x:c r="H17" s="32" t="n">
        <x:f>C17-F17</x:f>
        <x:v>2.8999999999999986</x:v>
      </x:c>
      <x:c r="I17" s="28" t="str">
        <x:f>IF(G17&gt;=0.9,"A",IF(G17&gt;=0.8,"B",IF(G17&gt;=0.7,"C",IF(G17&gt;=0.6,"D","E"))))</x:f>
        <x:v>B</x:v>
      </x:c>
      <x:c r="J17" s="28" t="n">
        <x:v>44</x:v>
      </x:c>
      <x:c r="K17" s="33" t="n">
        <x:f>C17-J17</x:f>
        <x:v>4</x:v>
      </x:c>
    </x:row>
    <x:row r="18">
      <x:c r="A18" s="28" t="str">
        <x:v>历史</x:v>
      </x:c>
      <x:c r="B18" s="28" t="n">
        <x:v>60</x:v>
      </x:c>
      <x:c r="C18" s="28" t="n">
        <x:v>54</x:v>
      </x:c>
      <x:c r="D18" s="28" t="n">
        <x:v>2</x:v>
      </x:c>
      <x:c r="E18" s="28" t="n">
        <x:v>16</x:v>
      </x:c>
      <x:c r="F18" s="28" t="n">
        <x:v>43.8</x:v>
      </x:c>
      <x:c r="G18" s="31" t="n">
        <x:f>IFERROR(C18/B18,0)</x:f>
        <x:v>0.9</x:v>
      </x:c>
      <x:c r="H18" s="32" t="n">
        <x:f>C18-F18</x:f>
        <x:v>10.200000000000003</x:v>
      </x:c>
      <x:c r="I18" s="28" t="str">
        <x:f>IF(G18&gt;=0.9,"A",IF(G18&gt;=0.8,"B",IF(G18&gt;=0.7,"C",IF(G18&gt;=0.6,"D","E"))))</x:f>
        <x:v>A</x:v>
      </x:c>
      <x:c r="J18" s="28" t="n">
        <x:v>50</x:v>
      </x:c>
      <x:c r="K18" s="33" t="n">
        <x:f>C18-J18</x:f>
        <x:v>4</x:v>
      </x:c>
    </x:row>
    <x:row r="19">
      <x:c r="A19" s="28" t="str">
        <x:v>体育</x:v>
      </x:c>
      <x:c r="B19" s="28" t="n">
        <x:v>50</x:v>
      </x:c>
      <x:c r="C19" s="28" t="n">
        <x:v>46</x:v>
      </x:c>
      <x:c r="D19" s="28" t="n">
        <x:v>6</x:v>
      </x:c>
      <x:c r="E19" s="28" t="n">
        <x:v>28</x:v>
      </x:c>
      <x:c r="F19" s="28" t="n">
        <x:v>43.2</x:v>
      </x:c>
      <x:c r="G19" s="31" t="n">
        <x:f>IFERROR(C19/B19,0)</x:f>
        <x:v>0.92</x:v>
      </x:c>
      <x:c r="H19" s="32" t="n">
        <x:f>C19-F19</x:f>
        <x:v>2.799999999999997</x:v>
      </x:c>
      <x:c r="I19" s="28" t="str">
        <x:f>IF(G19&gt;=0.9,"A",IF(G19&gt;=0.8,"B",IF(G19&gt;=0.7,"C",IF(G19&gt;=0.6,"D","E"))))</x:f>
        <x:v>A</x:v>
      </x:c>
      <x:c r="J19" s="28" t="n">
        <x:v>45</x:v>
      </x:c>
      <x:c r="K19" s="33" t="n">
        <x:f>C19-J19</x:f>
        <x:v>1</x:v>
      </x:c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29" t="str">
        <x:v>考试</x:v>
      </x:c>
      <x:c r="B22" s="29" t="str">
        <x:v>总分</x:v>
      </x:c>
      <x:c r="C22" s="29" t="str">
        <x:v>班级排名</x:v>
      </x:c>
      <x:c r="D22" s="29" t="str">
        <x:v>年级排名</x:v>
      </x:c>
      <x:c r="E22" s="29" t="str">
        <x:v>年级总均分</x:v>
      </x:c>
      <x:c r="F22" s="29" t="str">
        <x:v>日期</x:v>
      </x:c>
      <x:c r="G22" s="28"/>
      <x:c r="H22" s="28"/>
      <x:c r="I22" s="28"/>
      <x:c r="J22" s="28"/>
      <x:c r="K22" s="28"/>
    </x:row>
    <x:row r="23">
      <x:c r="A23" s="28" t="str">
        <x:v>七下期末</x:v>
      </x:c>
      <x:c r="B23" s="28" t="n">
        <x:v>520</x:v>
      </x:c>
      <x:c r="C23" s="28" t="n">
        <x:v>16</x:v>
      </x:c>
      <x:c r="D23" s="28" t="n">
        <x:v>104</x:v>
      </x:c>
      <x:c r="E23" s="28" t="n">
        <x:v>498</x:v>
      </x:c>
      <x:c r="F23" s="28" t="str">
        <x:v>2026-07-01</x:v>
      </x:c>
      <x:c r="G23" s="28"/>
      <x:c r="H23" s="28"/>
      <x:c r="I23" s="28"/>
      <x:c r="J23" s="28"/>
      <x:c r="K23" s="28"/>
    </x:row>
    <x:row r="24">
      <x:c r="A24" s="28" t="str">
        <x:v>八上期中</x:v>
      </x:c>
      <x:c r="B24" s="28" t="n">
        <x:v>536</x:v>
      </x:c>
      <x:c r="C24" s="28" t="n">
        <x:v>13</x:v>
      </x:c>
      <x:c r="D24" s="28" t="n">
        <x:v>88</x:v>
      </x:c>
      <x:c r="E24" s="28" t="n">
        <x:v>505</x:v>
      </x:c>
      <x:c r="F24" s="28" t="str">
        <x:v>2026-11-10</x:v>
      </x:c>
      <x:c r="G24" s="28"/>
      <x:c r="H24" s="28"/>
      <x:c r="I24" s="28"/>
      <x:c r="J24" s="28"/>
      <x:c r="K24" s="28"/>
    </x:row>
    <x:row r="25">
      <x:c r="A25" s="28" t="str">
        <x:v>八上期末</x:v>
      </x:c>
      <x:c r="B25" s="28" t="n">
        <x:v>552</x:v>
      </x:c>
      <x:c r="C25" s="28" t="n">
        <x:v>11</x:v>
      </x:c>
      <x:c r="D25" s="28" t="n">
        <x:v>76</x:v>
      </x:c>
      <x:c r="E25" s="28" t="n">
        <x:v>512</x:v>
      </x:c>
      <x:c r="F25" s="28" t="str">
        <x:v>2027-01-15</x:v>
      </x:c>
      <x:c r="G25" s="28"/>
      <x:c r="H25" s="28"/>
      <x:c r="I25" s="28"/>
      <x:c r="J25" s="28"/>
      <x:c r="K25" s="28"/>
    </x:row>
    <x:row r="26">
      <x:c r="A26" s="28" t="str">
        <x:v>九上第一次月考</x:v>
      </x:c>
      <x:c r="B26" s="28" t="n">
        <x:v>561</x:v>
      </x:c>
      <x:c r="C26" s="28" t="n">
        <x:v>9</x:v>
      </x:c>
      <x:c r="D26" s="28" t="n">
        <x:v>62</x:v>
      </x:c>
      <x:c r="E26" s="28" t="n">
        <x:v>519</x:v>
      </x:c>
      <x:c r="F26" s="28" t="str">
        <x:v>2027-09-20</x:v>
      </x:c>
      <x:c r="G26" s="28"/>
      <x:c r="H26" s="28"/>
      <x:c r="I26" s="28"/>
      <x:c r="J26" s="28"/>
      <x:c r="K26" s="28"/>
    </x:row>
    <x:row r="27">
      <x:c r="A27" s="28" t="str">
        <x:v>九上期中</x:v>
      </x:c>
      <x:c r="B27" s="28" t="n">
        <x:v>568</x:v>
      </x:c>
      <x:c r="C27" s="28" t="n">
        <x:v>7</x:v>
      </x:c>
      <x:c r="D27" s="28" t="n">
        <x:v>49</x:v>
      </x:c>
      <x:c r="E27" s="28" t="n">
        <x:v>524</x:v>
      </x:c>
      <x:c r="F27" s="28" t="str">
        <x:v>2027-11-12</x:v>
      </x:c>
      <x:c r="G27" s="28"/>
      <x:c r="H27" s="28"/>
      <x:c r="I27" s="28"/>
      <x:c r="J27" s="28"/>
      <x:c r="K27" s="28"/>
    </x:row>
    <x:row r="28">
      <x:c r="A28" s="28" t="str">
        <x:v>九上九月月考</x:v>
      </x:c>
      <x:c r="B28" s="28" t="n">
        <x:v>568</x:v>
      </x:c>
      <x:c r="C28" s="28" t="n">
        <x:v>7</x:v>
      </x:c>
      <x:c r="D28" s="28" t="n">
        <x:v>49</x:v>
      </x:c>
      <x:c r="E28" s="28" t="n">
        <x:v>524</x:v>
      </x:c>
      <x:c r="F28" s="28" t="str">
        <x:v>2027-09-20</x:v>
      </x:c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10" hidden="0" customWidth="1"/>
    <x:col min="4" max="4" width="10" hidden="0" customWidth="1"/>
    <x:col min="5" max="5" width="11" hidden="0" customWidth="1"/>
    <x:col min="6" max="6" width="11" hidden="0" customWidth="1"/>
    <x:col min="7" max="7" width="12" hidden="0" customWidth="1"/>
    <x:col min="8" max="8" width="11" hidden="0" customWidth="1"/>
    <x:col min="9" max="9" width="9" hidden="0" customWidth="1"/>
  </x:cols>
  <x:sheetData>
    <x:row r="1">
      <x:c r="A1" s="45" t="str">
        <x:v>学生个人成绩分析报告｜综合分析型</x:v>
      </x:c>
      <x:c r="B1" s="45"/>
      <x:c r="C1" s="45"/>
      <x:c r="D1" s="45"/>
      <x:c r="E1" s="45"/>
      <x:c r="F1" s="45"/>
      <x:c r="G1" s="45"/>
      <x:c r="H1" s="45"/>
      <x:c r="I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</x:row>
    <x:row r="3">
      <x:c r="A3" s="51" t="str">
        <x:v>姓名</x:v>
      </x:c>
      <x:c r="B3" s="49" t="str">
        <x:f>'数据源_示例'!B4</x:f>
        <x:v>张三</x:v>
      </x:c>
      <x:c r="C3" s="49"/>
      <x:c r="D3" s="51" t="str">
        <x:v>班级</x:v>
      </x:c>
      <x:c r="E3" s="49" t="str">
        <x:f>'数据源_示例'!B5</x:f>
        <x:v>九年级6班</x:v>
      </x:c>
      <x:c r="F3" s="49"/>
      <x:c r="G3" s="51" t="str">
        <x:v>本次考试</x:v>
      </x:c>
      <x:c r="H3" s="49" t="str">
        <x:f>'数据源_示例'!B7</x:f>
        <x:v>九月月考</x:v>
      </x:c>
      <x:c r="I3" s="4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</x:row>
    <x:row r="5">
      <x:c r="A5" s="56" t="str">
        <x:f>"总分"&amp;CHAR(10)&amp;TEXT('数据源_示例'!E4,"0")</x:f>
        <x:v>总分
568</x:v>
      </x:c>
      <x:c r="B5" s="56"/>
      <x:c r="C5" s="64" t="str">
        <x:f>"得分率"&amp;CHAR(10)&amp;TEXT('数据源_示例'!E6,"0.0%")</x:f>
        <x:v>得分率
83.5%</x:v>
      </x:c>
      <x:c r="D5" s="64"/>
      <x:c r="E5" s="56" t="str">
        <x:f>"班级排名"&amp;CHAR(10)&amp;TEXT('数据源_示例'!E7,"0")</x:f>
        <x:v>班级排名
7</x:v>
      </x:c>
      <x:c r="F5" s="56"/>
      <x:c r="G5" s="64" t="str">
        <x:f>"年级排名"&amp;CHAR(10)&amp;TEXT('数据源_示例'!E8,"0")</x:f>
        <x:v>年级排名
49</x:v>
      </x:c>
      <x:c r="H5" s="64"/>
      <x:c r="I5" s="64"/>
    </x:row>
    <x:row r="6">
      <x:c r="A6" s="56"/>
      <x:c r="B6" s="56"/>
      <x:c r="C6" s="64"/>
      <x:c r="D6" s="64"/>
      <x:c r="E6" s="56"/>
      <x:c r="F6" s="56"/>
      <x:c r="G6" s="64"/>
      <x:c r="H6" s="64"/>
      <x:c r="I6" s="64"/>
    </x:row>
    <x:row r="7">
      <x:c r="A7" s="56"/>
      <x:c r="B7" s="56"/>
      <x:c r="C7" s="64"/>
      <x:c r="D7" s="64"/>
      <x:c r="E7" s="56"/>
      <x:c r="F7" s="56"/>
      <x:c r="G7" s="64"/>
      <x:c r="H7" s="64"/>
      <x:c r="I7" s="64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</x:row>
    <x:row r="9">
      <x:c r="A9" s="72" t="str">
        <x:v>一、本次各学科表现</x:v>
      </x:c>
      <x:c r="B9" s="72"/>
      <x:c r="C9" s="72"/>
      <x:c r="D9" s="72"/>
      <x:c r="E9" s="72"/>
      <x:c r="F9" s="72"/>
      <x:c r="G9" s="72"/>
      <x:c r="H9" s="72"/>
      <x:c r="I9" s="72"/>
    </x:row>
    <x:row r="10">
      <x:c r="A10" s="78" t="str">
        <x:v>学科</x:v>
      </x:c>
      <x:c r="B10" s="78" t="str">
        <x:v>满分</x:v>
      </x:c>
      <x:c r="C10" s="78" t="str">
        <x:v>成绩</x:v>
      </x:c>
      <x:c r="D10" s="78" t="str">
        <x:v>得分率</x:v>
      </x:c>
      <x:c r="E10" s="78" t="str">
        <x:v>班级排名</x:v>
      </x:c>
      <x:c r="F10" s="78" t="str">
        <x:v>年级排名</x:v>
      </x:c>
      <x:c r="G10" s="78" t="str">
        <x:v>年级均分</x:v>
      </x:c>
      <x:c r="H10" s="78" t="str">
        <x:v>差值</x:v>
      </x:c>
      <x:c r="I10" s="78" t="str">
        <x:v>等级</x:v>
      </x:c>
    </x:row>
    <x:row r="11">
      <x:c r="A11" s="81" t="str">
        <x:f>'数据源_示例'!A12</x:f>
        <x:v>语文</x:v>
      </x:c>
      <x:c r="B11" s="81" t="n">
        <x:f>'数据源_示例'!B12</x:f>
        <x:v>120</x:v>
      </x:c>
      <x:c r="C11" s="81" t="n">
        <x:f>'数据源_示例'!C12</x:f>
        <x:v>96</x:v>
      </x:c>
      <x:c r="D11" s="83" t="n">
        <x:f>'数据源_示例'!G12</x:f>
        <x:v>0.8</x:v>
      </x:c>
      <x:c r="E11" s="81" t="n">
        <x:f>'数据源_示例'!D12</x:f>
        <x:v>8</x:v>
      </x:c>
      <x:c r="F11" s="81" t="n">
        <x:f>'数据源_示例'!E12</x:f>
        <x:v>42</x:v>
      </x:c>
      <x:c r="G11" s="85" t="n">
        <x:f>'数据源_示例'!F12</x:f>
        <x:v>91.5</x:v>
      </x:c>
      <x:c r="H11" s="85" t="n">
        <x:f>'数据源_示例'!H12</x:f>
        <x:v>4.5</x:v>
      </x:c>
      <x:c r="I11" s="81" t="str">
        <x:f>'数据源_示例'!I12</x:f>
        <x:v>B</x:v>
      </x:c>
    </x:row>
    <x:row r="12">
      <x:c r="A12" s="81" t="str">
        <x:f>'数据源_示例'!A13</x:f>
        <x:v>数学</x:v>
      </x:c>
      <x:c r="B12" s="81" t="n">
        <x:f>'数据源_示例'!B13</x:f>
        <x:v>120</x:v>
      </x:c>
      <x:c r="C12" s="81" t="n">
        <x:f>'数据源_示例'!C13</x:f>
        <x:v>108</x:v>
      </x:c>
      <x:c r="D12" s="83" t="n">
        <x:f>'数据源_示例'!G13</x:f>
        <x:v>0.9</x:v>
      </x:c>
      <x:c r="E12" s="81" t="n">
        <x:f>'数据源_示例'!D13</x:f>
        <x:v>3</x:v>
      </x:c>
      <x:c r="F12" s="81" t="n">
        <x:f>'数据源_示例'!E13</x:f>
        <x:v>18</x:v>
      </x:c>
      <x:c r="G12" s="85" t="n">
        <x:f>'数据源_示例'!F13</x:f>
        <x:v>89.2</x:v>
      </x:c>
      <x:c r="H12" s="85" t="n">
        <x:f>'数据源_示例'!H13</x:f>
        <x:v>18.799999999999997</x:v>
      </x:c>
      <x:c r="I12" s="81" t="str">
        <x:f>'数据源_示例'!I13</x:f>
        <x:v>A</x:v>
      </x:c>
    </x:row>
    <x:row r="13">
      <x:c r="A13" s="81" t="str">
        <x:f>'数据源_示例'!A14</x:f>
        <x:v>英语</x:v>
      </x:c>
      <x:c r="B13" s="81" t="n">
        <x:f>'数据源_示例'!B14</x:f>
        <x:v>120</x:v>
      </x:c>
      <x:c r="C13" s="81" t="n">
        <x:f>'数据源_示例'!C14</x:f>
        <x:v>92</x:v>
      </x:c>
      <x:c r="D13" s="83" t="n">
        <x:f>'数据源_示例'!G14</x:f>
        <x:v>0.7666666666666667</x:v>
      </x:c>
      <x:c r="E13" s="81" t="n">
        <x:f>'数据源_示例'!D14</x:f>
        <x:v>12</x:v>
      </x:c>
      <x:c r="F13" s="81" t="n">
        <x:f>'数据源_示例'!E14</x:f>
        <x:v>67</x:v>
      </x:c>
      <x:c r="G13" s="85" t="n">
        <x:f>'数据源_示例'!F14</x:f>
        <x:v>88.4</x:v>
      </x:c>
      <x:c r="H13" s="85" t="n">
        <x:f>'数据源_示例'!H14</x:f>
        <x:v>3.5999999999999943</x:v>
      </x:c>
      <x:c r="I13" s="81" t="str">
        <x:f>'数据源_示例'!I14</x:f>
        <x:v>C</x:v>
      </x:c>
    </x:row>
    <x:row r="14">
      <x:c r="A14" s="81" t="str">
        <x:f>'数据源_示例'!A15</x:f>
        <x:v>物理</x:v>
      </x:c>
      <x:c r="B14" s="81" t="n">
        <x:f>'数据源_示例'!B15</x:f>
        <x:v>80</x:v>
      </x:c>
      <x:c r="C14" s="81" t="n">
        <x:f>'数据源_示例'!C15</x:f>
        <x:v>69</x:v>
      </x:c>
      <x:c r="D14" s="83" t="n">
        <x:f>'数据源_示例'!G15</x:f>
        <x:v>0.8625</x:v>
      </x:c>
      <x:c r="E14" s="81" t="n">
        <x:f>'数据源_示例'!D15</x:f>
        <x:v>5</x:v>
      </x:c>
      <x:c r="F14" s="81" t="n">
        <x:f>'数据源_示例'!E15</x:f>
        <x:v>31</x:v>
      </x:c>
      <x:c r="G14" s="85" t="n">
        <x:f>'数据源_示例'!F15</x:f>
        <x:v>61.8</x:v>
      </x:c>
      <x:c r="H14" s="85" t="n">
        <x:f>'数据源_示例'!H15</x:f>
        <x:v>7.200000000000003</x:v>
      </x:c>
      <x:c r="I14" s="81" t="str">
        <x:f>'数据源_示例'!I15</x:f>
        <x:v>B</x:v>
      </x:c>
    </x:row>
    <x:row r="15">
      <x:c r="A15" s="81" t="str">
        <x:f>'数据源_示例'!A16</x:f>
        <x:v>化学</x:v>
      </x:c>
      <x:c r="B15" s="81" t="n">
        <x:f>'数据源_示例'!B16</x:f>
        <x:v>70</x:v>
      </x:c>
      <x:c r="C15" s="81" t="n">
        <x:f>'数据源_示例'!C16</x:f>
        <x:v>55</x:v>
      </x:c>
      <x:c r="D15" s="83" t="n">
        <x:f>'数据源_示例'!G16</x:f>
        <x:v>0.7857142857142857</x:v>
      </x:c>
      <x:c r="E15" s="81" t="n">
        <x:f>'数据源_示例'!D16</x:f>
        <x:v>11</x:v>
      </x:c>
      <x:c r="F15" s="81" t="n">
        <x:f>'数据源_示例'!E16</x:f>
        <x:v>72</x:v>
      </x:c>
      <x:c r="G15" s="85" t="n">
        <x:f>'数据源_示例'!F16</x:f>
        <x:v>53.6</x:v>
      </x:c>
      <x:c r="H15" s="85" t="n">
        <x:f>'数据源_示例'!H16</x:f>
        <x:v>1.3999999999999986</x:v>
      </x:c>
      <x:c r="I15" s="81" t="str">
        <x:f>'数据源_示例'!I16</x:f>
        <x:v>C</x:v>
      </x:c>
    </x:row>
    <x:row r="16">
      <x:c r="A16" s="81" t="str">
        <x:f>'数据源_示例'!A17</x:f>
        <x:v>道法</x:v>
      </x:c>
      <x:c r="B16" s="81" t="n">
        <x:f>'数据源_示例'!B17</x:f>
        <x:v>60</x:v>
      </x:c>
      <x:c r="C16" s="81" t="n">
        <x:f>'数据源_示例'!C17</x:f>
        <x:v>48</x:v>
      </x:c>
      <x:c r="D16" s="83" t="n">
        <x:f>'数据源_示例'!G17</x:f>
        <x:v>0.8</x:v>
      </x:c>
      <x:c r="E16" s="81" t="n">
        <x:f>'数据源_示例'!D17</x:f>
        <x:v>10</x:v>
      </x:c>
      <x:c r="F16" s="81" t="n">
        <x:f>'数据源_示例'!E17</x:f>
        <x:v>61</x:v>
      </x:c>
      <x:c r="G16" s="85" t="n">
        <x:f>'数据源_示例'!F17</x:f>
        <x:v>45.1</x:v>
      </x:c>
      <x:c r="H16" s="85" t="n">
        <x:f>'数据源_示例'!H17</x:f>
        <x:v>2.8999999999999986</x:v>
      </x:c>
      <x:c r="I16" s="81" t="str">
        <x:f>'数据源_示例'!I17</x:f>
        <x:v>B</x:v>
      </x:c>
    </x:row>
    <x:row r="17">
      <x:c r="A17" s="81" t="str">
        <x:f>'数据源_示例'!A18</x:f>
        <x:v>历史</x:v>
      </x:c>
      <x:c r="B17" s="81" t="n">
        <x:f>'数据源_示例'!B18</x:f>
        <x:v>60</x:v>
      </x:c>
      <x:c r="C17" s="81" t="n">
        <x:f>'数据源_示例'!C18</x:f>
        <x:v>54</x:v>
      </x:c>
      <x:c r="D17" s="83" t="n">
        <x:f>'数据源_示例'!G18</x:f>
        <x:v>0.9</x:v>
      </x:c>
      <x:c r="E17" s="81" t="n">
        <x:f>'数据源_示例'!D18</x:f>
        <x:v>2</x:v>
      </x:c>
      <x:c r="F17" s="81" t="n">
        <x:f>'数据源_示例'!E18</x:f>
        <x:v>16</x:v>
      </x:c>
      <x:c r="G17" s="85" t="n">
        <x:f>'数据源_示例'!F18</x:f>
        <x:v>43.8</x:v>
      </x:c>
      <x:c r="H17" s="85" t="n">
        <x:f>'数据源_示例'!H18</x:f>
        <x:v>10.200000000000003</x:v>
      </x:c>
      <x:c r="I17" s="81" t="str">
        <x:f>'数据源_示例'!I18</x:f>
        <x:v>A</x:v>
      </x:c>
    </x:row>
    <x:row r="18">
      <x:c r="A18" s="81" t="str">
        <x:f>'数据源_示例'!A19</x:f>
        <x:v>体育</x:v>
      </x:c>
      <x:c r="B18" s="81" t="n">
        <x:f>'数据源_示例'!B19</x:f>
        <x:v>50</x:v>
      </x:c>
      <x:c r="C18" s="81" t="n">
        <x:f>'数据源_示例'!C19</x:f>
        <x:v>46</x:v>
      </x:c>
      <x:c r="D18" s="83" t="n">
        <x:f>'数据源_示例'!G19</x:f>
        <x:v>0.92</x:v>
      </x:c>
      <x:c r="E18" s="81" t="n">
        <x:f>'数据源_示例'!D19</x:f>
        <x:v>6</x:v>
      </x:c>
      <x:c r="F18" s="81" t="n">
        <x:f>'数据源_示例'!E19</x:f>
        <x:v>28</x:v>
      </x:c>
      <x:c r="G18" s="85" t="n">
        <x:f>'数据源_示例'!F19</x:f>
        <x:v>43.2</x:v>
      </x:c>
      <x:c r="H18" s="85" t="n">
        <x:f>'数据源_示例'!H19</x:f>
        <x:v>2.799999999999997</x:v>
      </x:c>
      <x:c r="I18" s="81" t="str">
        <x:f>'数据源_示例'!I19</x:f>
        <x:v>A</x:v>
      </x:c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</x:row>
    <x:row r="20">
      <x:c r="A20" s="72" t="str">
        <x:v>二、阶段变化</x:v>
      </x:c>
      <x:c r="B20" s="72"/>
      <x:c r="C20" s="72"/>
      <x:c r="D20" s="72"/>
      <x:c r="E20" s="72"/>
      <x:c r="F20" s="72"/>
      <x:c r="G20" s="72"/>
      <x:c r="H20" s="72"/>
      <x:c r="I20" s="72"/>
    </x:row>
    <x:row r="21">
      <x:c r="A21" s="88" t="str">
        <x:v>考试</x:v>
      </x:c>
      <x:c r="B21" s="88" t="str">
        <x:v>总分</x:v>
      </x:c>
      <x:c r="C21" s="88" t="str">
        <x:v>班级排名</x:v>
      </x:c>
      <x:c r="D21" s="88" t="str">
        <x:v>年级排名</x:v>
      </x:c>
      <x:c r="E21" s="88" t="str">
        <x:v>年级均分</x:v>
      </x:c>
      <x:c r="F21" s="94" t="str">
        <x:f>"进步幅度"&amp;CHAR(10)&amp;IF('数据源_示例'!E9&gt;0,"年级排名上升 "&amp;'数据源_示例'!E9&amp;" 名",IF('数据源_示例'!E9&lt;0,"年级排名下降 "&amp;ABS('数据源_示例'!E9)&amp;" 名","年级排名持平"))</x:f>
        <x:v>进步幅度
年级排名上升 13 名</x:v>
      </x:c>
      <x:c r="G21" s="94"/>
      <x:c r="H21" s="94"/>
      <x:c r="I21" s="94"/>
    </x:row>
    <x:row r="22">
      <x:c r="A22" s="81" t="str">
        <x:f>'数据源_示例'!A23</x:f>
        <x:v>七下期末</x:v>
      </x:c>
      <x:c r="B22" s="81" t="n">
        <x:f>'数据源_示例'!B23</x:f>
        <x:v>520</x:v>
      </x:c>
      <x:c r="C22" s="81" t="n">
        <x:f>'数据源_示例'!C23</x:f>
        <x:v>16</x:v>
      </x:c>
      <x:c r="D22" s="81" t="n">
        <x:f>'数据源_示例'!D23</x:f>
        <x:v>104</x:v>
      </x:c>
      <x:c r="E22" s="81" t="n">
        <x:f>'数据源_示例'!E23</x:f>
        <x:v>498</x:v>
      </x:c>
      <x:c r="F22" s="94"/>
      <x:c r="G22" s="94"/>
      <x:c r="H22" s="94"/>
      <x:c r="I22" s="94"/>
    </x:row>
    <x:row r="23">
      <x:c r="A23" s="81" t="str">
        <x:f>'数据源_示例'!A24</x:f>
        <x:v>八上期中</x:v>
      </x:c>
      <x:c r="B23" s="81" t="n">
        <x:f>'数据源_示例'!B24</x:f>
        <x:v>536</x:v>
      </x:c>
      <x:c r="C23" s="81" t="n">
        <x:f>'数据源_示例'!C24</x:f>
        <x:v>13</x:v>
      </x:c>
      <x:c r="D23" s="81" t="n">
        <x:f>'数据源_示例'!D24</x:f>
        <x:v>88</x:v>
      </x:c>
      <x:c r="E23" s="81" t="n">
        <x:f>'数据源_示例'!E24</x:f>
        <x:v>505</x:v>
      </x:c>
      <x:c r="F23" s="94"/>
      <x:c r="G23" s="94"/>
      <x:c r="H23" s="94"/>
      <x:c r="I23" s="94"/>
    </x:row>
    <x:row r="24">
      <x:c r="A24" s="81" t="str">
        <x:f>'数据源_示例'!A25</x:f>
        <x:v>八上期末</x:v>
      </x:c>
      <x:c r="B24" s="81" t="n">
        <x:f>'数据源_示例'!B25</x:f>
        <x:v>552</x:v>
      </x:c>
      <x:c r="C24" s="81" t="n">
        <x:f>'数据源_示例'!C25</x:f>
        <x:v>11</x:v>
      </x:c>
      <x:c r="D24" s="81" t="n">
        <x:f>'数据源_示例'!D25</x:f>
        <x:v>76</x:v>
      </x:c>
      <x:c r="E24" s="81" t="n">
        <x:f>'数据源_示例'!E25</x:f>
        <x:v>512</x:v>
      </x:c>
      <x:c r="F24" s="101" t="str">
        <x:f>"优势学科："&amp;INDEX('数据源_示例'!A12:A19,MATCH(MAX('数据源_示例'!G12:G19),'数据源_示例'!G12:G19,0))&amp;CHAR(10)&amp;"重点关注："&amp;INDEX('数据源_示例'!A12:A19,MATCH(MIN('数据源_示例'!G12:G19),'数据源_示例'!G12:G19,0))</x:f>
        <x:v>优势学科：体育
重点关注：英语</x:v>
      </x:c>
      <x:c r="G24" s="101"/>
      <x:c r="H24" s="101"/>
      <x:c r="I24" s="101"/>
    </x:row>
    <x:row r="25">
      <x:c r="A25" s="81" t="str">
        <x:f>'数据源_示例'!A26</x:f>
        <x:v>九上第一次月考</x:v>
      </x:c>
      <x:c r="B25" s="81" t="n">
        <x:f>'数据源_示例'!B26</x:f>
        <x:v>561</x:v>
      </x:c>
      <x:c r="C25" s="81" t="n">
        <x:f>'数据源_示例'!C26</x:f>
        <x:v>9</x:v>
      </x:c>
      <x:c r="D25" s="81" t="n">
        <x:f>'数据源_示例'!D26</x:f>
        <x:v>62</x:v>
      </x:c>
      <x:c r="E25" s="81" t="n">
        <x:f>'数据源_示例'!E26</x:f>
        <x:v>519</x:v>
      </x:c>
      <x:c r="F25" s="101"/>
      <x:c r="G25" s="101"/>
      <x:c r="H25" s="101"/>
      <x:c r="I25" s="101"/>
    </x:row>
    <x:row r="26">
      <x:c r="A26" s="81" t="str">
        <x:f>'数据源_示例'!A27</x:f>
        <x:v>九上期中</x:v>
      </x:c>
      <x:c r="B26" s="81" t="n">
        <x:f>'数据源_示例'!B27</x:f>
        <x:v>568</x:v>
      </x:c>
      <x:c r="C26" s="81" t="n">
        <x:f>'数据源_示例'!C27</x:f>
        <x:v>7</x:v>
      </x:c>
      <x:c r="D26" s="81" t="n">
        <x:f>'数据源_示例'!D27</x:f>
        <x:v>49</x:v>
      </x:c>
      <x:c r="E26" s="81" t="n">
        <x:f>'数据源_示例'!E27</x:f>
        <x:v>524</x:v>
      </x:c>
      <x:c r="F26" s="101"/>
      <x:c r="G26" s="101"/>
      <x:c r="H26" s="101"/>
      <x:c r="I26" s="101"/>
    </x:row>
    <x:row r="27">
      <x:c r="A27" s="81" t="str">
        <x:f>'数据源_示例'!A28</x:f>
        <x:v>九上九月月考</x:v>
      </x:c>
      <x:c r="B27" s="81" t="n">
        <x:f>'数据源_示例'!B28</x:f>
        <x:v>568</x:v>
      </x:c>
      <x:c r="C27" s="81" t="n">
        <x:f>'数据源_示例'!C28</x:f>
        <x:v>7</x:v>
      </x:c>
      <x:c r="D27" s="81" t="n">
        <x:f>'数据源_示例'!D28</x:f>
        <x:v>49</x:v>
      </x:c>
      <x:c r="E27" s="81" t="n">
        <x:f>'数据源_示例'!E28</x:f>
        <x:v>524</x:v>
      </x:c>
      <x:c r="F27" s="101"/>
      <x:c r="G27" s="101"/>
      <x:c r="H27" s="101"/>
      <x:c r="I27" s="10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</x:row>
    <x:row r="29">
      <x:c r="A29" s="72" t="str">
        <x:v>三、教师诊断与后续建议</x:v>
      </x:c>
      <x:c r="B29" s="72"/>
      <x:c r="C29" s="72"/>
      <x:c r="D29" s="72"/>
      <x:c r="E29" s="72"/>
      <x:c r="F29" s="72"/>
      <x:c r="G29" s="72"/>
      <x:c r="H29" s="72"/>
      <x:c r="I29" s="72"/>
    </x:row>
    <x:row r="30">
      <x:c r="A30" s="106" t="str">
        <x:f>"本次总分 "&amp;'数据源_示例'!E4&amp;" 分，年级排名第 "&amp;'数据源_示例'!E8&amp;" 名。"&amp;IF('数据源_示例'!E9&gt;0,"较上次进步明显，","")&amp;"建议保持优势学科稳定输出，同时优先补强低得分率学科；下一阶段重点关注基础题正确率、审题规范和限时训练。"</x:f>
        <x:v>本次总分 568 分，年级排名第 49 名。较上次进步明显，建议保持优势学科稳定输出，同时优先补强低得分率学科；下一阶段重点关注基础题正确率、审题规范和限时训练。</x:v>
      </x:c>
      <x:c r="B30" s="106"/>
      <x:c r="C30" s="106"/>
      <x:c r="D30" s="106"/>
      <x:c r="E30" s="106"/>
      <x:c r="F30" s="106"/>
      <x:c r="G30" s="106"/>
      <x:c r="H30" s="106"/>
      <x:c r="I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</x:row>
    <x:row r="35">
      <x:c r="A35" s="109" t="str">
        <x:v>打印建议：A4 单页；纵向；窄边距；缩放为 1 页宽 × 1 页高。系统导出建议仅输出 A1:I36。</x:v>
      </x:c>
      <x:c r="B35" s="109"/>
      <x:c r="C35" s="109"/>
      <x:c r="D35" s="109"/>
      <x:c r="E35" s="109"/>
      <x:c r="F35" s="109"/>
      <x:c r="G35" s="109"/>
      <x:c r="H35" s="109"/>
      <x:c r="I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</x:row>
  </x:sheetData>
  <x:mergeCells>
    <x:mergeCell ref="A1:I2"/>
    <x:mergeCell ref="B3:C3"/>
    <x:mergeCell ref="E3:F3"/>
    <x:mergeCell ref="H3:I3"/>
    <x:mergeCell ref="A5:B7"/>
    <x:mergeCell ref="C5:D7"/>
    <x:mergeCell ref="E5:F7"/>
    <x:mergeCell ref="G5:I7"/>
    <x:mergeCell ref="A9:I9"/>
    <x:mergeCell ref="A20:I20"/>
    <x:mergeCell ref="F21:I23"/>
    <x:mergeCell ref="F24:I27"/>
    <x:mergeCell ref="A29:I29"/>
    <x:mergeCell ref="A30:I33"/>
    <x:mergeCell ref="A35:I36"/>
  </x:mergeCells>
  <x:conditionalFormatting sqref="D11:D1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{5D46A70F-BF69-923E-3599-01C167655DA0}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D46A70F-BF69-923E-3599-01C167655DA0}">
            <x14:dataBar gradient="1">
              <x14:cfvo type="min"/>
              <x14:cfvo type="max"/>
              <x14:fillColor rgb="FFA02B93"/>
            </x14:dataBar>
          </x14:cfRule>
          <xm:sqref>D11:D18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0" hidden="0" customWidth="1"/>
    <x:col min="8" max="8" width="10" hidden="0" customWidth="1"/>
    <x:col min="9" max="9" width="10" hidden="0" customWidth="1"/>
  </x:cols>
  <x:sheetData>
    <x:row r="1">
      <x:c r="A1" s="45" t="str">
        <x:v>学生个人成绩分析报告｜趋势变化型</x:v>
      </x:c>
      <x:c r="B1" s="45"/>
      <x:c r="C1" s="45"/>
      <x:c r="D1" s="45"/>
      <x:c r="E1" s="45"/>
      <x:c r="F1" s="45"/>
      <x:c r="G1" s="45"/>
      <x:c r="H1" s="45"/>
      <x:c r="I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</x:row>
    <x:row r="3">
      <x:c r="A3" s="51" t="str">
        <x:v>姓名</x:v>
      </x:c>
      <x:c r="B3" s="49" t="str">
        <x:f>'数据源_示例'!B4</x:f>
        <x:v>张三</x:v>
      </x:c>
      <x:c r="C3" s="49"/>
      <x:c r="D3" s="51" t="str">
        <x:v>班级</x:v>
      </x:c>
      <x:c r="E3" s="49" t="str">
        <x:f>'数据源_示例'!B5</x:f>
        <x:v>九年级6班</x:v>
      </x:c>
      <x:c r="F3" s="49"/>
      <x:c r="G3" s="51" t="str">
        <x:v>本次考试</x:v>
      </x:c>
      <x:c r="H3" s="49" t="str">
        <x:f>'数据源_示例'!B7</x:f>
        <x:v>九月月考</x:v>
      </x:c>
      <x:c r="I3" s="4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</x:row>
    <x:row r="5">
      <x:c r="A5" s="56" t="str">
        <x:f>"当前总分"&amp;CHAR(10)&amp;TEXT('数据源_示例'!E4,"0")</x:f>
        <x:v>当前总分
568</x:v>
      </x:c>
      <x:c r="B5" s="56"/>
      <x:c r="C5" s="64" t="str">
        <x:f>"年级排名"&amp;CHAR(10)&amp;TEXT('数据源_示例'!E8,"0")</x:f>
        <x:v>年级排名
49</x:v>
      </x:c>
      <x:c r="D5" s="64"/>
      <x:c r="E5" s="113" t="str">
        <x:f>"排名变化"&amp;CHAR(10)&amp;TEXT('数据源_示例'!E9,"+0;-0;0")</x:f>
        <x:v>排名变化
+13</x:v>
      </x:c>
      <x:c r="F5" s="113"/>
      <x:c r="G5" s="119" t="str">
        <x:f>"当前得分率"&amp;CHAR(10)&amp;TEXT('数据源_示例'!E6,"0.0%")</x:f>
        <x:v>当前得分率
83.5%</x:v>
      </x:c>
      <x:c r="H5" s="119"/>
      <x:c r="I5" s="119"/>
    </x:row>
    <x:row r="6">
      <x:c r="A6" s="56"/>
      <x:c r="B6" s="56"/>
      <x:c r="C6" s="64"/>
      <x:c r="D6" s="64"/>
      <x:c r="E6" s="113"/>
      <x:c r="F6" s="113"/>
      <x:c r="G6" s="119"/>
      <x:c r="H6" s="119"/>
      <x:c r="I6" s="119"/>
    </x:row>
    <x:row r="7">
      <x:c r="A7" s="56"/>
      <x:c r="B7" s="56"/>
      <x:c r="C7" s="64"/>
      <x:c r="D7" s="64"/>
      <x:c r="E7" s="113"/>
      <x:c r="F7" s="113"/>
      <x:c r="G7" s="119"/>
      <x:c r="H7" s="119"/>
      <x:c r="I7" s="119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</x:row>
    <x:row r="9">
      <x:c r="A9" s="72" t="str">
        <x:v>一、历次考试变化</x:v>
      </x:c>
      <x:c r="B9" s="72"/>
      <x:c r="C9" s="72"/>
      <x:c r="D9" s="72"/>
      <x:c r="E9" s="72"/>
      <x:c r="F9" s="72"/>
      <x:c r="G9" s="72"/>
      <x:c r="H9" s="72"/>
      <x:c r="I9" s="72"/>
    </x:row>
    <x:row r="10">
      <x:c r="A10" s="124" t="str">
        <x:v>考试</x:v>
      </x:c>
      <x:c r="B10" s="124" t="str">
        <x:v>总分</x:v>
      </x:c>
      <x:c r="C10" s="124" t="str">
        <x:v>年级均分</x:v>
      </x:c>
      <x:c r="D10" s="124" t="str">
        <x:v>班级排名</x:v>
      </x:c>
      <x:c r="E10" s="124" t="str">
        <x:v>年级排名</x:v>
      </x:c>
      <x:c r="F10" s="124" t="str">
        <x:v>较前次总分</x:v>
      </x:c>
      <x:c r="G10" s="41"/>
      <x:c r="H10" s="41"/>
      <x:c r="I10" s="41"/>
    </x:row>
    <x:row r="11">
      <x:c r="A11" s="81" t="str">
        <x:f>'数据源_示例'!A23</x:f>
        <x:v>七下期末</x:v>
      </x:c>
      <x:c r="B11" s="81" t="n">
        <x:f>'数据源_示例'!B23</x:f>
        <x:v>520</x:v>
      </x:c>
      <x:c r="C11" s="81" t="n">
        <x:f>'数据源_示例'!E23</x:f>
        <x:v>498</x:v>
      </x:c>
      <x:c r="D11" s="81" t="n">
        <x:f>'数据源_示例'!C23</x:f>
        <x:v>16</x:v>
      </x:c>
      <x:c r="E11" s="81" t="n">
        <x:f>'数据源_示例'!D23</x:f>
        <x:v>104</x:v>
      </x:c>
      <x:c r="F11" s="81" t="str">
        <x:v>—</x:v>
      </x:c>
      <x:c r="G11" s="41"/>
      <x:c r="H11" s="41"/>
      <x:c r="I11" s="41"/>
    </x:row>
    <x:row r="12">
      <x:c r="A12" s="81" t="str">
        <x:f>'数据源_示例'!A24</x:f>
        <x:v>八上期中</x:v>
      </x:c>
      <x:c r="B12" s="81" t="n">
        <x:f>'数据源_示例'!B24</x:f>
        <x:v>536</x:v>
      </x:c>
      <x:c r="C12" s="81" t="n">
        <x:f>'数据源_示例'!E24</x:f>
        <x:v>505</x:v>
      </x:c>
      <x:c r="D12" s="81" t="n">
        <x:f>'数据源_示例'!C24</x:f>
        <x:v>13</x:v>
      </x:c>
      <x:c r="E12" s="81" t="n">
        <x:f>'数据源_示例'!D24</x:f>
        <x:v>88</x:v>
      </x:c>
      <x:c r="F12" s="127" t="n">
        <x:f>B12-B11</x:f>
        <x:v>16</x:v>
      </x:c>
      <x:c r="G12" s="41"/>
      <x:c r="H12" s="41"/>
      <x:c r="I12" s="41"/>
    </x:row>
    <x:row r="13">
      <x:c r="A13" s="81" t="str">
        <x:f>'数据源_示例'!A25</x:f>
        <x:v>八上期末</x:v>
      </x:c>
      <x:c r="B13" s="81" t="n">
        <x:f>'数据源_示例'!B25</x:f>
        <x:v>552</x:v>
      </x:c>
      <x:c r="C13" s="81" t="n">
        <x:f>'数据源_示例'!E25</x:f>
        <x:v>512</x:v>
      </x:c>
      <x:c r="D13" s="81" t="n">
        <x:f>'数据源_示例'!C25</x:f>
        <x:v>11</x:v>
      </x:c>
      <x:c r="E13" s="81" t="n">
        <x:f>'数据源_示例'!D25</x:f>
        <x:v>76</x:v>
      </x:c>
      <x:c r="F13" s="127" t="n">
        <x:f>B13-B12</x:f>
        <x:v>16</x:v>
      </x:c>
      <x:c r="G13" s="41"/>
      <x:c r="H13" s="41"/>
      <x:c r="I13" s="41"/>
    </x:row>
    <x:row r="14">
      <x:c r="A14" s="81" t="str">
        <x:f>'数据源_示例'!A26</x:f>
        <x:v>九上第一次月考</x:v>
      </x:c>
      <x:c r="B14" s="81" t="n">
        <x:f>'数据源_示例'!B26</x:f>
        <x:v>561</x:v>
      </x:c>
      <x:c r="C14" s="81" t="n">
        <x:f>'数据源_示例'!E26</x:f>
        <x:v>519</x:v>
      </x:c>
      <x:c r="D14" s="81" t="n">
        <x:f>'数据源_示例'!C26</x:f>
        <x:v>9</x:v>
      </x:c>
      <x:c r="E14" s="81" t="n">
        <x:f>'数据源_示例'!D26</x:f>
        <x:v>62</x:v>
      </x:c>
      <x:c r="F14" s="127" t="n">
        <x:f>B14-B13</x:f>
        <x:v>9</x:v>
      </x:c>
      <x:c r="G14" s="41"/>
      <x:c r="H14" s="41"/>
      <x:c r="I14" s="41"/>
    </x:row>
    <x:row r="15">
      <x:c r="A15" s="81" t="str">
        <x:f>'数据源_示例'!A27</x:f>
        <x:v>九上期中</x:v>
      </x:c>
      <x:c r="B15" s="81" t="n">
        <x:f>'数据源_示例'!B27</x:f>
        <x:v>568</x:v>
      </x:c>
      <x:c r="C15" s="81" t="n">
        <x:f>'数据源_示例'!E27</x:f>
        <x:v>524</x:v>
      </x:c>
      <x:c r="D15" s="81" t="n">
        <x:f>'数据源_示例'!C27</x:f>
        <x:v>7</x:v>
      </x:c>
      <x:c r="E15" s="81" t="n">
        <x:f>'数据源_示例'!D27</x:f>
        <x:v>49</x:v>
      </x:c>
      <x:c r="F15" s="127" t="n">
        <x:f>B15-B14</x:f>
        <x:v>7</x:v>
      </x:c>
      <x:c r="G15" s="41"/>
      <x:c r="H15" s="41"/>
      <x:c r="I15" s="41"/>
    </x:row>
    <x:row r="16">
      <x:c r="A16" s="81" t="str">
        <x:f>'数据源_示例'!A28</x:f>
        <x:v>九上九月月考</x:v>
      </x:c>
      <x:c r="B16" s="81" t="n">
        <x:f>'数据源_示例'!B28</x:f>
        <x:v>568</x:v>
      </x:c>
      <x:c r="C16" s="81" t="n">
        <x:f>'数据源_示例'!E28</x:f>
        <x:v>524</x:v>
      </x:c>
      <x:c r="D16" s="81" t="n">
        <x:f>'数据源_示例'!C28</x:f>
        <x:v>7</x:v>
      </x:c>
      <x:c r="E16" s="81" t="n">
        <x:f>'数据源_示例'!D28</x:f>
        <x:v>49</x:v>
      </x:c>
      <x:c r="F16" s="127" t="n">
        <x:f>B16-B15</x:f>
        <x:v>0</x:v>
      </x:c>
      <x:c r="G16" s="41"/>
      <x:c r="H16" s="41"/>
      <x:c r="I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</x:row>
    <x:row r="18">
      <x:c r="A18" s="72" t="str">
        <x:v>二、连续变化观察</x:v>
      </x:c>
      <x:c r="B18" s="72"/>
      <x:c r="C18" s="72"/>
      <x:c r="D18" s="72"/>
      <x:c r="E18" s="72"/>
      <x:c r="F18" s="72"/>
      <x:c r="G18" s="72"/>
      <x:c r="H18" s="72"/>
      <x:c r="I18" s="72"/>
    </x:row>
    <x:row r="19">
      <x:c r="A19" s="130" t="str">
        <x:f>"最近 6 次考试总分："&amp;TEXTJOIN(" → ",TRUE,'数据源_示例'!B23:B28)&amp;CHAR(10)&amp;CHAR(10)&amp;"当前年级排名第 "&amp;'数据源_示例'!E8&amp;" 名，较上次 "&amp;IF('数据源_示例'!E9&gt;0,"上升 "&amp;'数据源_示例'!E9&amp;" 名",IF('数据源_示例'!E9&lt;0,"下降 "&amp;ABS('数据源_示例'!E9)&amp;" 名","持平"))&amp;"。"&amp;CHAR(10)&amp;"判断趋势时建议连续观察 3 次以上：总分、年级排名、弱势学科得分率三项同时改善，才说明整体学习状态出现较稳定的提升。"</x:f>
        <x:v>最近 6 次考试总分：520 → 536 → 552 → 561 → 568 → 568
当前年级排名第 49 名，较上次 上升 13 名。
判断趋势时建议连续观察 3 次以上：总分、年级排名、弱势学科得分率三项同时改善，才说明整体学习状态出现较稳定的提升。</x:v>
      </x:c>
      <x:c r="B19" s="130"/>
      <x:c r="C19" s="130"/>
      <x:c r="D19" s="130"/>
      <x:c r="E19" s="130"/>
      <x:c r="F19" s="130"/>
      <x:c r="G19" s="130"/>
      <x:c r="H19" s="130"/>
      <x:c r="I19" s="130"/>
    </x:row>
    <x:row r="20">
      <x:c r="A20" s="130"/>
      <x:c r="B20" s="130"/>
      <x:c r="C20" s="130"/>
      <x:c r="D20" s="130"/>
      <x:c r="E20" s="130"/>
      <x:c r="F20" s="130"/>
      <x:c r="G20" s="130"/>
      <x:c r="H20" s="130"/>
      <x:c r="I20" s="130"/>
    </x:row>
    <x:row r="21">
      <x:c r="A21" s="130"/>
      <x:c r="B21" s="130"/>
      <x:c r="C21" s="130"/>
      <x:c r="D21" s="130"/>
      <x:c r="E21" s="130"/>
      <x:c r="F21" s="130"/>
      <x:c r="G21" s="130"/>
      <x:c r="H21" s="130"/>
      <x:c r="I21" s="130"/>
    </x:row>
    <x:row r="22">
      <x:c r="A22" s="130"/>
      <x:c r="B22" s="130"/>
      <x:c r="C22" s="130"/>
      <x:c r="D22" s="130"/>
      <x:c r="E22" s="130"/>
      <x:c r="F22" s="130"/>
      <x:c r="G22" s="130"/>
      <x:c r="H22" s="130"/>
      <x:c r="I22" s="130"/>
    </x:row>
    <x:row r="23">
      <x:c r="A23" s="130"/>
      <x:c r="B23" s="130"/>
      <x:c r="C23" s="130"/>
      <x:c r="D23" s="130"/>
      <x:c r="E23" s="130"/>
      <x:c r="F23" s="130"/>
      <x:c r="G23" s="130"/>
      <x:c r="H23" s="130"/>
      <x:c r="I23" s="130"/>
    </x:row>
    <x:row r="24">
      <x:c r="A24" s="130"/>
      <x:c r="B24" s="130"/>
      <x:c r="C24" s="130"/>
      <x:c r="D24" s="130"/>
      <x:c r="E24" s="130"/>
      <x:c r="F24" s="130"/>
      <x:c r="G24" s="130"/>
      <x:c r="H24" s="130"/>
      <x:c r="I24" s="130"/>
    </x:row>
    <x:row r="25">
      <x:c r="A25" s="130"/>
      <x:c r="B25" s="130"/>
      <x:c r="C25" s="130"/>
      <x:c r="D25" s="130"/>
      <x:c r="E25" s="130"/>
      <x:c r="F25" s="130"/>
      <x:c r="G25" s="130"/>
      <x:c r="H25" s="130"/>
      <x:c r="I25" s="130"/>
    </x:row>
    <x:row r="26">
      <x:c r="A26" s="130"/>
      <x:c r="B26" s="130"/>
      <x:c r="C26" s="130"/>
      <x:c r="D26" s="130"/>
      <x:c r="E26" s="130"/>
      <x:c r="F26" s="130"/>
      <x:c r="G26" s="130"/>
      <x:c r="H26" s="130"/>
      <x:c r="I26" s="130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</x:row>
    <x:row r="28">
      <x:c r="A28" s="72" t="str">
        <x:v>三、趋势跟踪记录</x:v>
      </x:c>
      <x:c r="B28" s="72"/>
      <x:c r="C28" s="72"/>
      <x:c r="D28" s="72"/>
      <x:c r="E28" s="72"/>
      <x:c r="F28" s="72"/>
      <x:c r="G28" s="72"/>
      <x:c r="H28" s="72"/>
      <x:c r="I28" s="72"/>
    </x:row>
    <x:row r="29">
      <x:c r="A29" s="88" t="str">
        <x:v>观察项</x:v>
      </x:c>
      <x:c r="B29" s="88" t="str">
        <x:v>当前</x:v>
      </x:c>
      <x:c r="C29" s="88" t="str">
        <x:v>下一次目标</x:v>
      </x:c>
      <x:c r="D29" s="88" t="str">
        <x:v>是否达成</x:v>
      </x:c>
      <x:c r="E29" s="41" t="str">
        <x:v>说明</x:v>
      </x:c>
      <x:c r="F29" s="41" t="str"/>
      <x:c r="G29" s="41" t="str"/>
      <x:c r="H29" s="41" t="str"/>
      <x:c r="I29" s="41" t="str"/>
    </x:row>
    <x:row r="30">
      <x:c r="A30" s="41" t="str">
        <x:v>总分</x:v>
      </x:c>
      <x:c r="B30" s="41" t="n">
        <x:f>'数据源_示例'!E4</x:f>
        <x:v>568</x:v>
      </x:c>
      <x:c r="C30" s="41"/>
      <x:c r="D30" s="41" t="str"/>
      <x:c r="E30" s="41" t="str"/>
      <x:c r="F30" s="41" t="str"/>
      <x:c r="G30" s="41" t="str"/>
      <x:c r="H30" s="41" t="str"/>
      <x:c r="I30" s="41" t="str"/>
    </x:row>
    <x:row r="31">
      <x:c r="A31" s="41" t="str">
        <x:v>年级排名</x:v>
      </x:c>
      <x:c r="B31" s="41" t="n">
        <x:f>'数据源_示例'!E8</x:f>
        <x:v>49</x:v>
      </x:c>
      <x:c r="C31" s="41"/>
      <x:c r="D31" s="41" t="str"/>
      <x:c r="E31" s="41" t="str"/>
      <x:c r="F31" s="41" t="str"/>
      <x:c r="G31" s="41" t="str"/>
      <x:c r="H31" s="41" t="str"/>
      <x:c r="I31" s="41" t="str"/>
    </x:row>
    <x:row r="32">
      <x:c r="A32" s="41" t="str">
        <x:v>最低得分率学科</x:v>
      </x:c>
      <x:c r="B32" s="41" t="str">
        <x:f>INDEX('数据源_示例'!A12:A19,MATCH(MIN('数据源_示例'!G12:G19),'数据源_示例'!G12:G19,0))</x:f>
        <x:v>英语</x:v>
      </x:c>
      <x:c r="C32" s="41"/>
      <x:c r="D32" s="41" t="str"/>
      <x:c r="E32" s="41" t="str"/>
      <x:c r="F32" s="41" t="str"/>
      <x:c r="G32" s="41" t="str"/>
      <x:c r="H32" s="41" t="str"/>
      <x:c r="I32" s="41" t="str"/>
    </x:row>
    <x:row r="33">
      <x:c r="A33" s="41" t="str">
        <x:v>考试规范性</x:v>
      </x:c>
      <x:c r="B33" s="41" t="str">
        <x:v>—</x:v>
      </x:c>
      <x:c r="C33" s="41" t="str">
        <x:v>减少非知识性失分</x:v>
      </x:c>
      <x:c r="D33" s="41" t="str">
        <x:v>待评估</x:v>
      </x:c>
      <x:c r="E33" s="41" t="str"/>
      <x:c r="F33" s="41" t="str"/>
      <x:c r="G33" s="41" t="str"/>
      <x:c r="H33" s="41" t="str"/>
      <x:c r="I33" s="41" t="str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</x:row>
    <x:row r="35">
      <x:c r="A35" s="109" t="str">
        <x:v>打印建议：A4 单页；纵向；窄边距；缩放为 1 页宽 × 1 页高。</x:v>
      </x:c>
      <x:c r="B35" s="109"/>
      <x:c r="C35" s="109"/>
      <x:c r="D35" s="109"/>
      <x:c r="E35" s="109"/>
      <x:c r="F35" s="109"/>
      <x:c r="G35" s="109"/>
      <x:c r="H35" s="109"/>
      <x:c r="I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</x:row>
  </x:sheetData>
  <x:mergeCells>
    <x:mergeCell ref="A1:I2"/>
    <x:mergeCell ref="B3:C3"/>
    <x:mergeCell ref="E3:F3"/>
    <x:mergeCell ref="H3:I3"/>
    <x:mergeCell ref="A5:B7"/>
    <x:mergeCell ref="C5:D7"/>
    <x:mergeCell ref="E5:F7"/>
    <x:mergeCell ref="G5:I7"/>
    <x:mergeCell ref="A9:I9"/>
    <x:mergeCell ref="A18:I18"/>
    <x:mergeCell ref="A19:I26"/>
    <x:mergeCell ref="A28:I28"/>
    <x:mergeCell ref="A35:I3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1" hidden="0" customWidth="1"/>
    <x:col min="6" max="6" width="11" hidden="0" customWidth="1"/>
    <x:col min="7" max="7" width="10" hidden="0" customWidth="1"/>
    <x:col min="8" max="8" width="10" hidden="0" customWidth="1"/>
    <x:col min="9" max="9" width="13" hidden="0" customWidth="1"/>
  </x:cols>
  <x:sheetData>
    <x:row r="1">
      <x:c r="A1" s="45" t="str">
        <x:v>学生个人成绩分析报告｜学科诊断型</x:v>
      </x:c>
      <x:c r="B1" s="45"/>
      <x:c r="C1" s="45"/>
      <x:c r="D1" s="45"/>
      <x:c r="E1" s="45"/>
      <x:c r="F1" s="45"/>
      <x:c r="G1" s="45"/>
      <x:c r="H1" s="45"/>
      <x:c r="I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</x:row>
    <x:row r="3">
      <x:c r="A3" s="51" t="str">
        <x:v>姓名</x:v>
      </x:c>
      <x:c r="B3" s="49" t="str">
        <x:f>'数据源_示例'!B4</x:f>
        <x:v>张三</x:v>
      </x:c>
      <x:c r="C3" s="49"/>
      <x:c r="D3" s="51" t="str">
        <x:v>班级</x:v>
      </x:c>
      <x:c r="E3" s="49" t="str">
        <x:f>'数据源_示例'!B5</x:f>
        <x:v>九年级6班</x:v>
      </x:c>
      <x:c r="F3" s="49"/>
      <x:c r="G3" s="51" t="str">
        <x:v>本次考试</x:v>
      </x:c>
      <x:c r="H3" s="49" t="str">
        <x:f>'数据源_示例'!B7</x:f>
        <x:v>九月月考</x:v>
      </x:c>
      <x:c r="I3" s="4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</x:row>
    <x:row r="5">
      <x:c r="A5" s="72" t="str">
        <x:v>一、学科诊断矩阵</x:v>
      </x:c>
      <x:c r="B5" s="72"/>
      <x:c r="C5" s="72"/>
      <x:c r="D5" s="72"/>
      <x:c r="E5" s="72"/>
      <x:c r="F5" s="72"/>
      <x:c r="G5" s="72"/>
      <x:c r="H5" s="72"/>
      <x:c r="I5" s="72"/>
    </x:row>
    <x:row r="6">
      <x:c r="A6" s="124" t="str">
        <x:v>学科</x:v>
      </x:c>
      <x:c r="B6" s="124" t="str">
        <x:v>成绩</x:v>
      </x:c>
      <x:c r="C6" s="124" t="str">
        <x:v>满分</x:v>
      </x:c>
      <x:c r="D6" s="124" t="str">
        <x:v>得分率</x:v>
      </x:c>
      <x:c r="E6" s="124" t="str">
        <x:v>年级均分</x:v>
      </x:c>
      <x:c r="F6" s="124" t="str">
        <x:v>差值</x:v>
      </x:c>
      <x:c r="G6" s="124" t="str">
        <x:v>年级排名</x:v>
      </x:c>
      <x:c r="H6" s="124" t="str">
        <x:v>较上次</x:v>
      </x:c>
      <x:c r="I6" s="124" t="str">
        <x:v>诊断</x:v>
      </x:c>
    </x:row>
    <x:row r="7">
      <x:c r="A7" s="81" t="str">
        <x:f>'数据源_示例'!A12</x:f>
        <x:v>语文</x:v>
      </x:c>
      <x:c r="B7" s="81" t="n">
        <x:f>'数据源_示例'!C12</x:f>
        <x:v>96</x:v>
      </x:c>
      <x:c r="C7" s="81" t="n">
        <x:f>'数据源_示例'!B12</x:f>
        <x:v>120</x:v>
      </x:c>
      <x:c r="D7" s="83" t="n">
        <x:f>'数据源_示例'!G12</x:f>
        <x:v>0.8</x:v>
      </x:c>
      <x:c r="E7" s="85" t="n">
        <x:f>'数据源_示例'!F12</x:f>
        <x:v>91.5</x:v>
      </x:c>
      <x:c r="F7" s="85" t="n">
        <x:f>'数据源_示例'!H12</x:f>
        <x:v>4.5</x:v>
      </x:c>
      <x:c r="G7" s="81" t="n">
        <x:f>'数据源_示例'!E12</x:f>
        <x:v>42</x:v>
      </x:c>
      <x:c r="H7" s="127" t="n">
        <x:f>'数据源_示例'!K12</x:f>
        <x:v>5</x:v>
      </x:c>
      <x:c r="I7" s="81" t="str">
        <x:f>IF(D7&gt;=0.9,"优势",IF(D7&lt;0.7,"重点提升","保持"))</x:f>
        <x:v>保持</x:v>
      </x:c>
    </x:row>
    <x:row r="8">
      <x:c r="A8" s="81" t="str">
        <x:f>'数据源_示例'!A13</x:f>
        <x:v>数学</x:v>
      </x:c>
      <x:c r="B8" s="81" t="n">
        <x:f>'数据源_示例'!C13</x:f>
        <x:v>108</x:v>
      </x:c>
      <x:c r="C8" s="81" t="n">
        <x:f>'数据源_示例'!B13</x:f>
        <x:v>120</x:v>
      </x:c>
      <x:c r="D8" s="83" t="n">
        <x:f>'数据源_示例'!G13</x:f>
        <x:v>0.9</x:v>
      </x:c>
      <x:c r="E8" s="85" t="n">
        <x:f>'数据源_示例'!F13</x:f>
        <x:v>89.2</x:v>
      </x:c>
      <x:c r="F8" s="85" t="n">
        <x:f>'数据源_示例'!H13</x:f>
        <x:v>18.799999999999997</x:v>
      </x:c>
      <x:c r="G8" s="81" t="n">
        <x:f>'数据源_示例'!E13</x:f>
        <x:v>18</x:v>
      </x:c>
      <x:c r="H8" s="127" t="n">
        <x:f>'数据源_示例'!K13</x:f>
        <x:v>7</x:v>
      </x:c>
      <x:c r="I8" s="81" t="str">
        <x:f>IF(D8&gt;=0.9,"优势",IF(D8&lt;0.7,"重点提升","保持"))</x:f>
        <x:v>优势</x:v>
      </x:c>
    </x:row>
    <x:row r="9">
      <x:c r="A9" s="81" t="str">
        <x:f>'数据源_示例'!A14</x:f>
        <x:v>英语</x:v>
      </x:c>
      <x:c r="B9" s="81" t="n">
        <x:f>'数据源_示例'!C14</x:f>
        <x:v>92</x:v>
      </x:c>
      <x:c r="C9" s="81" t="n">
        <x:f>'数据源_示例'!B14</x:f>
        <x:v>120</x:v>
      </x:c>
      <x:c r="D9" s="83" t="n">
        <x:f>'数据源_示例'!G14</x:f>
        <x:v>0.7666666666666667</x:v>
      </x:c>
      <x:c r="E9" s="85" t="n">
        <x:f>'数据源_示例'!F14</x:f>
        <x:v>88.4</x:v>
      </x:c>
      <x:c r="F9" s="85" t="n">
        <x:f>'数据源_示例'!H14</x:f>
        <x:v>3.5999999999999943</x:v>
      </x:c>
      <x:c r="G9" s="81" t="n">
        <x:f>'数据源_示例'!E14</x:f>
        <x:v>67</x:v>
      </x:c>
      <x:c r="H9" s="127" t="n">
        <x:f>'数据源_示例'!K14</x:f>
        <x:v>-3</x:v>
      </x:c>
      <x:c r="I9" s="81" t="str">
        <x:f>IF(D9&gt;=0.9,"优势",IF(D9&lt;0.7,"重点提升","保持"))</x:f>
        <x:v>保持</x:v>
      </x:c>
    </x:row>
    <x:row r="10">
      <x:c r="A10" s="81" t="str">
        <x:f>'数据源_示例'!A15</x:f>
        <x:v>物理</x:v>
      </x:c>
      <x:c r="B10" s="81" t="n">
        <x:f>'数据源_示例'!C15</x:f>
        <x:v>69</x:v>
      </x:c>
      <x:c r="C10" s="81" t="n">
        <x:f>'数据源_示例'!B15</x:f>
        <x:v>80</x:v>
      </x:c>
      <x:c r="D10" s="83" t="n">
        <x:f>'数据源_示例'!G15</x:f>
        <x:v>0.8625</x:v>
      </x:c>
      <x:c r="E10" s="85" t="n">
        <x:f>'数据源_示例'!F15</x:f>
        <x:v>61.8</x:v>
      </x:c>
      <x:c r="F10" s="85" t="n">
        <x:f>'数据源_示例'!H15</x:f>
        <x:v>7.200000000000003</x:v>
      </x:c>
      <x:c r="G10" s="81" t="n">
        <x:f>'数据源_示例'!E15</x:f>
        <x:v>31</x:v>
      </x:c>
      <x:c r="H10" s="127" t="n">
        <x:f>'数据源_示例'!K15</x:f>
        <x:v>6</x:v>
      </x:c>
      <x:c r="I10" s="81" t="str">
        <x:f>IF(D10&gt;=0.9,"优势",IF(D10&lt;0.7,"重点提升","保持"))</x:f>
        <x:v>保持</x:v>
      </x:c>
    </x:row>
    <x:row r="11">
      <x:c r="A11" s="81" t="str">
        <x:f>'数据源_示例'!A16</x:f>
        <x:v>化学</x:v>
      </x:c>
      <x:c r="B11" s="81" t="n">
        <x:f>'数据源_示例'!C16</x:f>
        <x:v>55</x:v>
      </x:c>
      <x:c r="C11" s="81" t="n">
        <x:f>'数据源_示例'!B16</x:f>
        <x:v>70</x:v>
      </x:c>
      <x:c r="D11" s="83" t="n">
        <x:f>'数据源_示例'!G16</x:f>
        <x:v>0.7857142857142857</x:v>
      </x:c>
      <x:c r="E11" s="85" t="n">
        <x:f>'数据源_示例'!F16</x:f>
        <x:v>53.6</x:v>
      </x:c>
      <x:c r="F11" s="85" t="n">
        <x:f>'数据源_示例'!H16</x:f>
        <x:v>1.3999999999999986</x:v>
      </x:c>
      <x:c r="G11" s="81" t="n">
        <x:f>'数据源_示例'!E16</x:f>
        <x:v>72</x:v>
      </x:c>
      <x:c r="H11" s="127" t="n">
        <x:f>'数据源_示例'!K16</x:f>
        <x:v>-3</x:v>
      </x:c>
      <x:c r="I11" s="81" t="str">
        <x:f>IF(D11&gt;=0.9,"优势",IF(D11&lt;0.7,"重点提升","保持"))</x:f>
        <x:v>保持</x:v>
      </x:c>
    </x:row>
    <x:row r="12">
      <x:c r="A12" s="81" t="str">
        <x:f>'数据源_示例'!A17</x:f>
        <x:v>道法</x:v>
      </x:c>
      <x:c r="B12" s="81" t="n">
        <x:f>'数据源_示例'!C17</x:f>
        <x:v>48</x:v>
      </x:c>
      <x:c r="C12" s="81" t="n">
        <x:f>'数据源_示例'!B17</x:f>
        <x:v>60</x:v>
      </x:c>
      <x:c r="D12" s="83" t="n">
        <x:f>'数据源_示例'!G17</x:f>
        <x:v>0.8</x:v>
      </x:c>
      <x:c r="E12" s="85" t="n">
        <x:f>'数据源_示例'!F17</x:f>
        <x:v>45.1</x:v>
      </x:c>
      <x:c r="F12" s="85" t="n">
        <x:f>'数据源_示例'!H17</x:f>
        <x:v>2.8999999999999986</x:v>
      </x:c>
      <x:c r="G12" s="81" t="n">
        <x:f>'数据源_示例'!E17</x:f>
        <x:v>61</x:v>
      </x:c>
      <x:c r="H12" s="127" t="n">
        <x:f>'数据源_示例'!K17</x:f>
        <x:v>4</x:v>
      </x:c>
      <x:c r="I12" s="81" t="str">
        <x:f>IF(D12&gt;=0.9,"优势",IF(D12&lt;0.7,"重点提升","保持"))</x:f>
        <x:v>保持</x:v>
      </x:c>
    </x:row>
    <x:row r="13">
      <x:c r="A13" s="81" t="str">
        <x:f>'数据源_示例'!A18</x:f>
        <x:v>历史</x:v>
      </x:c>
      <x:c r="B13" s="81" t="n">
        <x:f>'数据源_示例'!C18</x:f>
        <x:v>54</x:v>
      </x:c>
      <x:c r="C13" s="81" t="n">
        <x:f>'数据源_示例'!B18</x:f>
        <x:v>60</x:v>
      </x:c>
      <x:c r="D13" s="83" t="n">
        <x:f>'数据源_示例'!G18</x:f>
        <x:v>0.9</x:v>
      </x:c>
      <x:c r="E13" s="85" t="n">
        <x:f>'数据源_示例'!F18</x:f>
        <x:v>43.8</x:v>
      </x:c>
      <x:c r="F13" s="85" t="n">
        <x:f>'数据源_示例'!H18</x:f>
        <x:v>10.200000000000003</x:v>
      </x:c>
      <x:c r="G13" s="81" t="n">
        <x:f>'数据源_示例'!E18</x:f>
        <x:v>16</x:v>
      </x:c>
      <x:c r="H13" s="127" t="n">
        <x:f>'数据源_示例'!K18</x:f>
        <x:v>4</x:v>
      </x:c>
      <x:c r="I13" s="81" t="str">
        <x:f>IF(D13&gt;=0.9,"优势",IF(D13&lt;0.7,"重点提升","保持"))</x:f>
        <x:v>优势</x:v>
      </x:c>
    </x:row>
    <x:row r="14">
      <x:c r="A14" s="81" t="str">
        <x:f>'数据源_示例'!A19</x:f>
        <x:v>体育</x:v>
      </x:c>
      <x:c r="B14" s="81" t="n">
        <x:f>'数据源_示例'!C19</x:f>
        <x:v>46</x:v>
      </x:c>
      <x:c r="C14" s="81" t="n">
        <x:f>'数据源_示例'!B19</x:f>
        <x:v>50</x:v>
      </x:c>
      <x:c r="D14" s="83" t="n">
        <x:f>'数据源_示例'!G19</x:f>
        <x:v>0.92</x:v>
      </x:c>
      <x:c r="E14" s="85" t="n">
        <x:f>'数据源_示例'!F19</x:f>
        <x:v>43.2</x:v>
      </x:c>
      <x:c r="F14" s="85" t="n">
        <x:f>'数据源_示例'!H19</x:f>
        <x:v>2.799999999999997</x:v>
      </x:c>
      <x:c r="G14" s="81" t="n">
        <x:f>'数据源_示例'!E19</x:f>
        <x:v>28</x:v>
      </x:c>
      <x:c r="H14" s="127" t="n">
        <x:f>'数据源_示例'!K19</x:f>
        <x:v>1</x:v>
      </x:c>
      <x:c r="I14" s="81" t="str">
        <x:f>IF(D14&gt;=0.9,"优势",IF(D14&lt;0.7,"重点提升","保持"))</x:f>
        <x:v>优势</x:v>
      </x:c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</x:row>
    <x:row r="16">
      <x:c r="A16" s="72" t="str">
        <x:v>二、关键诊断</x:v>
      </x:c>
      <x:c r="B16" s="72"/>
      <x:c r="C16" s="72"/>
      <x:c r="D16" s="72"/>
      <x:c r="E16" s="72"/>
      <x:c r="F16" s="72"/>
      <x:c r="G16" s="72"/>
      <x:c r="H16" s="72"/>
      <x:c r="I16" s="72"/>
    </x:row>
    <x:row r="17">
      <x:c r="A17" s="134" t="str">
        <x:v>诊断项</x:v>
      </x:c>
      <x:c r="B17" s="134" t="str">
        <x:v>学科</x:v>
      </x:c>
      <x:c r="C17" s="134" t="str">
        <x:v>指标</x:v>
      </x:c>
      <x:c r="D17" s="41"/>
      <x:c r="E17" s="138" t="str">
        <x:v>诊断项</x:v>
      </x:c>
      <x:c r="F17" s="138" t="str">
        <x:v>学科</x:v>
      </x:c>
      <x:c r="G17" s="138" t="str">
        <x:v>指标</x:v>
      </x:c>
      <x:c r="H17" s="41"/>
      <x:c r="I17" s="41"/>
    </x:row>
    <x:row r="18">
      <x:c r="A18" s="41" t="str">
        <x:v>得分率最高</x:v>
      </x:c>
      <x:c r="B18" s="41" t="str">
        <x:f>INDEX('数据源_示例'!A12:A19,MATCH(MAX('数据源_示例'!G12:G19),'数据源_示例'!G12:G19,0))</x:f>
        <x:v>体育</x:v>
      </x:c>
      <x:c r="C18" s="141" t="n">
        <x:f>MAX('数据源_示例'!G12:G19)</x:f>
        <x:v>0.92</x:v>
      </x:c>
      <x:c r="D18" s="41"/>
      <x:c r="E18" s="41" t="str">
        <x:v>低于均分最多</x:v>
      </x:c>
      <x:c r="F18" s="41" t="str">
        <x:f>INDEX('数据源_示例'!A12:A19,MATCH(MIN('数据源_示例'!H12:H19),'数据源_示例'!H12:H19,0))</x:f>
        <x:v>化学</x:v>
      </x:c>
      <x:c r="G18" s="145" t="n">
        <x:f>MIN('数据源_示例'!H12:H19)</x:f>
        <x:v>1.3999999999999986</x:v>
      </x:c>
      <x:c r="H18" s="41"/>
      <x:c r="I18" s="41"/>
    </x:row>
    <x:row r="19">
      <x:c r="A19" s="41" t="str">
        <x:v>得分率最低</x:v>
      </x:c>
      <x:c r="B19" s="41" t="str">
        <x:f>INDEX('数据源_示例'!A12:A19,MATCH(MIN('数据源_示例'!G12:G19),'数据源_示例'!G12:G19,0))</x:f>
        <x:v>英语</x:v>
      </x:c>
      <x:c r="C19" s="141" t="n">
        <x:f>MIN('数据源_示例'!G12:G19)</x:f>
        <x:v>0.7666666666666667</x:v>
      </x:c>
      <x:c r="D19" s="41"/>
      <x:c r="E19" s="41" t="str">
        <x:v>年级排名最佳</x:v>
      </x:c>
      <x:c r="F19" s="41" t="str">
        <x:f>INDEX('数据源_示例'!A12:A19,MATCH(MIN('数据源_示例'!E12:E19),'数据源_示例'!E12:E19,0))</x:f>
        <x:v>历史</x:v>
      </x:c>
      <x:c r="G19" s="41" t="n">
        <x:f>MIN('数据源_示例'!E12:E19)</x:f>
        <x:v>16</x:v>
      </x:c>
      <x:c r="H19" s="41"/>
      <x:c r="I19" s="41"/>
    </x:row>
    <x:row r="20">
      <x:c r="A20" s="41" t="str">
        <x:v>进步最大</x:v>
      </x:c>
      <x:c r="B20" s="41" t="str">
        <x:f>INDEX('数据源_示例'!A12:A19,MATCH(MAX('数据源_示例'!K12:K19),'数据源_示例'!K12:K19,0))</x:f>
        <x:v>数学</x:v>
      </x:c>
      <x:c r="C20" s="143" t="n">
        <x:f>MAX('数据源_示例'!K12:K19)</x:f>
        <x:v>7</x:v>
      </x:c>
      <x:c r="D20" s="41"/>
      <x:c r="E20" s="41" t="str">
        <x:v>退步最大</x:v>
      </x:c>
      <x:c r="F20" s="41" t="str">
        <x:f>INDEX('数据源_示例'!A12:A19,MATCH(MIN('数据源_示例'!K12:K19),'数据源_示例'!K12:K19,0))</x:f>
        <x:v>英语</x:v>
      </x:c>
      <x:c r="G20" s="143" t="n">
        <x:f>MIN('数据源_示例'!K12:K19)</x:f>
        <x:v>-3</x:v>
      </x:c>
      <x:c r="H20" s="41"/>
      <x:c r="I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</x:row>
    <x:row r="22">
      <x:c r="A22" s="72" t="str">
        <x:v>三、下一阶段目标</x:v>
      </x:c>
      <x:c r="B22" s="72"/>
      <x:c r="C22" s="72"/>
      <x:c r="D22" s="72"/>
      <x:c r="E22" s="72"/>
      <x:c r="F22" s="72"/>
      <x:c r="G22" s="72"/>
      <x:c r="H22" s="72"/>
      <x:c r="I22" s="72"/>
    </x:row>
    <x:row r="23">
      <x:c r="A23" s="88" t="str">
        <x:v>优先级</x:v>
      </x:c>
      <x:c r="B23" s="88" t="str">
        <x:v>学科</x:v>
      </x:c>
      <x:c r="C23" s="88" t="str">
        <x:v>当前成绩</x:v>
      </x:c>
      <x:c r="D23" s="88" t="str">
        <x:v>建议目标</x:v>
      </x:c>
      <x:c r="E23" s="88" t="str">
        <x:v>目标增量</x:v>
      </x:c>
      <x:c r="F23" s="88" t="str">
        <x:v>训练重点</x:v>
      </x:c>
      <x:c r="G23" s="147" t="str">
        <x:v>使用建议
优先处理“低得分率 + 低于年级均分”的学科。
目标建议先按每科提高约 5% 满分值设置，便于阶段性执行与复盘。</x:v>
      </x:c>
      <x:c r="H23" s="147"/>
      <x:c r="I23" s="147"/>
    </x:row>
    <x:row r="24">
      <x:c r="A24" s="41" t="n">
        <x:v>1</x:v>
      </x:c>
      <x:c r="B24" s="41" t="str">
        <x:f>INDEX('数据源_示例'!A12:A19,MATCH(SMALL('数据源_示例'!G12:G19,1),'数据源_示例'!G12:G19,0))</x:f>
        <x:v>英语</x:v>
      </x:c>
      <x:c r="C24" s="41" t="n">
        <x:f>INDEX('数据源_示例'!C12:C19,MATCH(B24,'数据源_示例'!A12:A19,0))</x:f>
        <x:v>92</x:v>
      </x:c>
      <x:c r="D24" s="41" t="n">
        <x:f>MIN(INDEX('数据源_示例'!B12:B19,MATCH(B24,'数据源_示例'!A12:A19,0)),C24+ROUND(INDEX('数据源_示例'!B12:B19,MATCH(B24,'数据源_示例'!A12:A19,0))*0.05,0))</x:f>
        <x:v>98</x:v>
      </x:c>
      <x:c r="E24" s="41" t="n">
        <x:f>D24-C24</x:f>
        <x:v>6</x:v>
      </x:c>
      <x:c r="F24" s="41" t="str">
        <x:v>基础题+错题归因</x:v>
      </x:c>
      <x:c r="G24" s="147"/>
      <x:c r="H24" s="147"/>
      <x:c r="I24" s="147"/>
    </x:row>
    <x:row r="25">
      <x:c r="A25" s="41" t="n">
        <x:v>2</x:v>
      </x:c>
      <x:c r="B25" s="41" t="str">
        <x:f>INDEX('数据源_示例'!A12:A19,MATCH(SMALL('数据源_示例'!G12:G19,2),'数据源_示例'!G12:G19,0))</x:f>
        <x:v>化学</x:v>
      </x:c>
      <x:c r="C25" s="41" t="n">
        <x:f>INDEX('数据源_示例'!C12:C19,MATCH(B25,'数据源_示例'!A12:A19,0))</x:f>
        <x:v>55</x:v>
      </x:c>
      <x:c r="D25" s="41" t="n">
        <x:f>MIN(INDEX('数据源_示例'!B12:B19,MATCH(B25,'数据源_示例'!A12:A19,0)),C25+ROUND(INDEX('数据源_示例'!B12:B19,MATCH(B25,'数据源_示例'!A12:A19,0))*0.05,0))</x:f>
        <x:v>59</x:v>
      </x:c>
      <x:c r="E25" s="41" t="n">
        <x:f>D25-C25</x:f>
        <x:v>4</x:v>
      </x:c>
      <x:c r="F25" s="41" t="str">
        <x:v>基础题+错题归因</x:v>
      </x:c>
      <x:c r="G25" s="147"/>
      <x:c r="H25" s="147"/>
      <x:c r="I25" s="147"/>
    </x:row>
    <x:row r="26">
      <x:c r="A26" s="41" t="n">
        <x:v>3</x:v>
      </x:c>
      <x:c r="B26" s="41" t="str">
        <x:f>INDEX('数据源_示例'!A12:A19,MATCH(SMALL('数据源_示例'!G12:G19,3),'数据源_示例'!G12:G19,0))</x:f>
        <x:v>语文</x:v>
      </x:c>
      <x:c r="C26" s="41" t="n">
        <x:f>INDEX('数据源_示例'!C12:C19,MATCH(B26,'数据源_示例'!A12:A19,0))</x:f>
        <x:v>96</x:v>
      </x:c>
      <x:c r="D26" s="41" t="n">
        <x:f>MIN(INDEX('数据源_示例'!B12:B19,MATCH(B26,'数据源_示例'!A12:A19,0)),C26+ROUND(INDEX('数据源_示例'!B12:B19,MATCH(B26,'数据源_示例'!A12:A19,0))*0.05,0))</x:f>
        <x:v>102</x:v>
      </x:c>
      <x:c r="E26" s="41" t="n">
        <x:f>D26-C26</x:f>
        <x:v>6</x:v>
      </x:c>
      <x:c r="F26" s="41" t="str">
        <x:v>基础题+错题归因</x:v>
      </x:c>
      <x:c r="G26" s="147"/>
      <x:c r="H26" s="147"/>
      <x:c r="I26" s="147"/>
    </x:row>
    <x:row r="27">
      <x:c r="A27" s="41" t="n">
        <x:v>4</x:v>
      </x:c>
      <x:c r="B27" s="41" t="str">
        <x:v>自定</x:v>
      </x:c>
      <x:c r="C27" s="41" t="str"/>
      <x:c r="D27" s="41" t="str"/>
      <x:c r="E27" s="41" t="str"/>
      <x:c r="F27" s="41" t="str">
        <x:v>按教师判断填写</x:v>
      </x:c>
      <x:c r="G27" s="147"/>
      <x:c r="H27" s="147"/>
      <x:c r="I27" s="147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</x:row>
    <x:row r="29">
      <x:c r="A29" s="72" t="str">
        <x:v>四、教师建议</x:v>
      </x:c>
      <x:c r="B29" s="72"/>
      <x:c r="C29" s="72"/>
      <x:c r="D29" s="72"/>
      <x:c r="E29" s="72"/>
      <x:c r="F29" s="72"/>
      <x:c r="G29" s="72"/>
      <x:c r="H29" s="72"/>
      <x:c r="I29" s="72"/>
    </x:row>
    <x:row r="30">
      <x:c r="A30" s="106" t="str">
        <x:v>1. 优势学科：稳定正确率和规范表达，避免粗心失分。
2. 薄弱学科：先补基础概念和高频题型，再进入综合题。
3. 每次考试后记录“知识性失分 / 审题失分 / 计算或表达失分”，连续跟踪 3 次后再调整策略。</x:v>
      </x:c>
      <x:c r="B30" s="106"/>
      <x:c r="C30" s="106"/>
      <x:c r="D30" s="106"/>
      <x:c r="E30" s="106"/>
      <x:c r="F30" s="106"/>
      <x:c r="G30" s="106"/>
      <x:c r="H30" s="106"/>
      <x:c r="I30" s="106"/>
    </x:row>
    <x:row r="31">
      <x:c r="A31" s="106"/>
      <x:c r="B31" s="106"/>
      <x:c r="C31" s="106"/>
      <x:c r="D31" s="106"/>
      <x:c r="E31" s="106"/>
      <x:c r="F31" s="106"/>
      <x:c r="G31" s="106"/>
      <x:c r="H31" s="106"/>
      <x:c r="I31" s="106"/>
    </x:row>
    <x:row r="32">
      <x:c r="A32" s="106"/>
      <x:c r="B32" s="106"/>
      <x:c r="C32" s="106"/>
      <x:c r="D32" s="106"/>
      <x:c r="E32" s="106"/>
      <x:c r="F32" s="106"/>
      <x:c r="G32" s="106"/>
      <x:c r="H32" s="106"/>
      <x:c r="I32" s="106"/>
    </x:row>
    <x:row r="33">
      <x:c r="A33" s="106"/>
      <x:c r="B33" s="106"/>
      <x:c r="C33" s="106"/>
      <x:c r="D33" s="106"/>
      <x:c r="E33" s="106"/>
      <x:c r="F33" s="106"/>
      <x:c r="G33" s="106"/>
      <x:c r="H33" s="106"/>
      <x:c r="I33" s="106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</x:row>
    <x:row r="35">
      <x:c r="A35" s="109" t="str">
        <x:v>打印建议：A4 单页；纵向；窄边距；缩放为 1 页宽 × 1 页高。</x:v>
      </x:c>
      <x:c r="B35" s="109"/>
      <x:c r="C35" s="109"/>
      <x:c r="D35" s="109"/>
      <x:c r="E35" s="109"/>
      <x:c r="F35" s="109"/>
      <x:c r="G35" s="109"/>
      <x:c r="H35" s="109"/>
      <x:c r="I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  <x:c r="I36" s="109"/>
    </x:row>
  </x:sheetData>
  <x:mergeCells>
    <x:mergeCell ref="A1:I2"/>
    <x:mergeCell ref="B3:C3"/>
    <x:mergeCell ref="E3:F3"/>
    <x:mergeCell ref="H3:I3"/>
    <x:mergeCell ref="A5:I5"/>
    <x:mergeCell ref="A16:I16"/>
    <x:mergeCell ref="A22:I22"/>
    <x:mergeCell ref="G23:I27"/>
    <x:mergeCell ref="A29:I29"/>
    <x:mergeCell ref="A30:I34"/>
    <x:mergeCell ref="A35:I36"/>
  </x:mergeCells>
  <x:conditionalFormatting sqref="D7:D1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9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3" hidden="0" customWidth="1"/>
  </x:cols>
  <x:sheetData>
    <x:row r="1">
      <x:c r="A1" s="45" t="str">
        <x:v>学生个人成绩分析报告｜家长沟通型</x:v>
      </x:c>
      <x:c r="B1" s="45"/>
      <x:c r="C1" s="45"/>
      <x:c r="D1" s="45"/>
      <x:c r="E1" s="45"/>
      <x:c r="F1" s="45"/>
      <x:c r="G1" s="45"/>
      <x:c r="H1" s="45"/>
      <x:c r="I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</x:row>
    <x:row r="3">
      <x:c r="A3" s="51" t="str">
        <x:v>姓名</x:v>
      </x:c>
      <x:c r="B3" s="49" t="str">
        <x:f>'数据源_示例'!B4</x:f>
        <x:v>张三</x:v>
      </x:c>
      <x:c r="C3" s="49"/>
      <x:c r="D3" s="51" t="str">
        <x:v>班级</x:v>
      </x:c>
      <x:c r="E3" s="49" t="str">
        <x:f>'数据源_示例'!B5</x:f>
        <x:v>九年级6班</x:v>
      </x:c>
      <x:c r="F3" s="49"/>
      <x:c r="G3" s="51" t="str">
        <x:v>本次考试</x:v>
      </x:c>
      <x:c r="H3" s="49" t="str">
        <x:f>'数据源_示例'!B7</x:f>
        <x:v>九月月考</x:v>
      </x:c>
      <x:c r="I3" s="49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</x:row>
    <x:row r="5">
      <x:c r="A5" s="56" t="str">
        <x:f>"本次总分"&amp;CHAR(10)&amp;TEXT('数据源_示例'!E4,"0")&amp;" 分"</x:f>
        <x:v>本次总分
568 分</x:v>
      </x:c>
      <x:c r="B5" s="56"/>
      <x:c r="C5" s="56"/>
      <x:c r="D5" s="64" t="str">
        <x:f>"年级位置"&amp;CHAR(10)&amp;"第 "&amp;TEXT('数据源_示例'!E8,"0")&amp;" 名"</x:f>
        <x:v>年级位置
第 49 名</x:v>
      </x:c>
      <x:c r="E5" s="64"/>
      <x:c r="F5" s="64"/>
      <x:c r="G5" s="113" t="str">
        <x:f>"与上次相比"&amp;CHAR(10)&amp;IF('数据源_示例'!E9&gt;0,"上升 "&amp;'数据源_示例'!E9&amp;" 名",IF('数据源_示例'!E9&lt;0,"下降 "&amp;ABS('数据源_示例'!E9)&amp;" 名","持平"))</x:f>
        <x:v>与上次相比
上升 13 名</x:v>
      </x:c>
      <x:c r="H5" s="113"/>
      <x:c r="I5" s="113"/>
    </x:row>
    <x:row r="6">
      <x:c r="A6" s="56"/>
      <x:c r="B6" s="56"/>
      <x:c r="C6" s="56"/>
      <x:c r="D6" s="64"/>
      <x:c r="E6" s="64"/>
      <x:c r="F6" s="64"/>
      <x:c r="G6" s="113"/>
      <x:c r="H6" s="113"/>
      <x:c r="I6" s="113"/>
    </x:row>
    <x:row r="7">
      <x:c r="A7" s="56"/>
      <x:c r="B7" s="56"/>
      <x:c r="C7" s="56"/>
      <x:c r="D7" s="64"/>
      <x:c r="E7" s="64"/>
      <x:c r="F7" s="64"/>
      <x:c r="G7" s="113"/>
      <x:c r="H7" s="113"/>
      <x:c r="I7" s="113"/>
    </x:row>
    <x:row r="8">
      <x:c r="A8" s="56"/>
      <x:c r="B8" s="56"/>
      <x:c r="C8" s="56"/>
      <x:c r="D8" s="64"/>
      <x:c r="E8" s="64"/>
      <x:c r="F8" s="64"/>
      <x:c r="G8" s="113"/>
      <x:c r="H8" s="113"/>
      <x:c r="I8" s="113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</x:row>
    <x:row r="10">
      <x:c r="A10" s="72" t="str">
        <x:v>一、各科表现一览</x:v>
      </x:c>
      <x:c r="B10" s="72"/>
      <x:c r="C10" s="72"/>
      <x:c r="D10" s="72"/>
      <x:c r="E10" s="72"/>
      <x:c r="F10" s="72"/>
      <x:c r="G10" s="72"/>
      <x:c r="H10" s="72"/>
      <x:c r="I10" s="72"/>
    </x:row>
    <x:row r="11">
      <x:c r="A11" s="124" t="str">
        <x:v>学科</x:v>
      </x:c>
      <x:c r="B11" s="124" t="str">
        <x:v>成绩</x:v>
      </x:c>
      <x:c r="C11" s="124" t="str">
        <x:v>满分</x:v>
      </x:c>
      <x:c r="D11" s="124" t="str">
        <x:v>得分率</x:v>
      </x:c>
      <x:c r="E11" s="124" t="str">
        <x:v>班级排名</x:v>
      </x:c>
      <x:c r="F11" s="124" t="str">
        <x:v>年级排名</x:v>
      </x:c>
      <x:c r="G11" s="124" t="str">
        <x:v>较上次</x:v>
      </x:c>
      <x:c r="H11" s="124" t="str">
        <x:v>评价</x:v>
      </x:c>
      <x:c r="I11" s="124" t="str">
        <x:v>建议</x:v>
      </x:c>
    </x:row>
    <x:row r="12">
      <x:c r="A12" s="81" t="str">
        <x:f>'数据源_示例'!A12</x:f>
        <x:v>语文</x:v>
      </x:c>
      <x:c r="B12" s="81" t="n">
        <x:f>'数据源_示例'!C12</x:f>
        <x:v>96</x:v>
      </x:c>
      <x:c r="C12" s="81" t="n">
        <x:f>'数据源_示例'!B12</x:f>
        <x:v>120</x:v>
      </x:c>
      <x:c r="D12" s="83" t="n">
        <x:f>'数据源_示例'!G12</x:f>
        <x:v>0.8</x:v>
      </x:c>
      <x:c r="E12" s="81" t="n">
        <x:f>'数据源_示例'!D12</x:f>
        <x:v>8</x:v>
      </x:c>
      <x:c r="F12" s="81" t="n">
        <x:f>'数据源_示例'!E12</x:f>
        <x:v>42</x:v>
      </x:c>
      <x:c r="G12" s="127" t="n">
        <x:f>'数据源_示例'!K12</x:f>
        <x:v>5</x:v>
      </x:c>
      <x:c r="H12" s="81" t="str">
        <x:f>IF(D12&gt;=0.85,"较好",IF(D12&lt;0.7,"需关注","稳定"))</x:f>
        <x:v>稳定</x:v>
      </x:c>
      <x:c r="I12" s="81" t="str">
        <x:f>IF(D12&lt;0.7,"优先补基础",IF(G12&lt;0,"查错因","保持节奏"))</x:f>
        <x:v>保持节奏</x:v>
      </x:c>
    </x:row>
    <x:row r="13">
      <x:c r="A13" s="81" t="str">
        <x:f>'数据源_示例'!A13</x:f>
        <x:v>数学</x:v>
      </x:c>
      <x:c r="B13" s="81" t="n">
        <x:f>'数据源_示例'!C13</x:f>
        <x:v>108</x:v>
      </x:c>
      <x:c r="C13" s="81" t="n">
        <x:f>'数据源_示例'!B13</x:f>
        <x:v>120</x:v>
      </x:c>
      <x:c r="D13" s="83" t="n">
        <x:f>'数据源_示例'!G13</x:f>
        <x:v>0.9</x:v>
      </x:c>
      <x:c r="E13" s="81" t="n">
        <x:f>'数据源_示例'!D13</x:f>
        <x:v>3</x:v>
      </x:c>
      <x:c r="F13" s="81" t="n">
        <x:f>'数据源_示例'!E13</x:f>
        <x:v>18</x:v>
      </x:c>
      <x:c r="G13" s="127" t="n">
        <x:f>'数据源_示例'!K13</x:f>
        <x:v>7</x:v>
      </x:c>
      <x:c r="H13" s="81" t="str">
        <x:f>IF(D13&gt;=0.85,"较好",IF(D13&lt;0.7,"需关注","稳定"))</x:f>
        <x:v>较好</x:v>
      </x:c>
      <x:c r="I13" s="81" t="str">
        <x:f>IF(D13&lt;0.7,"优先补基础",IF(G13&lt;0,"查错因","保持节奏"))</x:f>
        <x:v>保持节奏</x:v>
      </x:c>
    </x:row>
    <x:row r="14">
      <x:c r="A14" s="81" t="str">
        <x:f>'数据源_示例'!A14</x:f>
        <x:v>英语</x:v>
      </x:c>
      <x:c r="B14" s="81" t="n">
        <x:f>'数据源_示例'!C14</x:f>
        <x:v>92</x:v>
      </x:c>
      <x:c r="C14" s="81" t="n">
        <x:f>'数据源_示例'!B14</x:f>
        <x:v>120</x:v>
      </x:c>
      <x:c r="D14" s="83" t="n">
        <x:f>'数据源_示例'!G14</x:f>
        <x:v>0.7666666666666667</x:v>
      </x:c>
      <x:c r="E14" s="81" t="n">
        <x:f>'数据源_示例'!D14</x:f>
        <x:v>12</x:v>
      </x:c>
      <x:c r="F14" s="81" t="n">
        <x:f>'数据源_示例'!E14</x:f>
        <x:v>67</x:v>
      </x:c>
      <x:c r="G14" s="127" t="n">
        <x:f>'数据源_示例'!K14</x:f>
        <x:v>-3</x:v>
      </x:c>
      <x:c r="H14" s="81" t="str">
        <x:f>IF(D14&gt;=0.85,"较好",IF(D14&lt;0.7,"需关注","稳定"))</x:f>
        <x:v>稳定</x:v>
      </x:c>
      <x:c r="I14" s="81" t="str">
        <x:f>IF(D14&lt;0.7,"优先补基础",IF(G14&lt;0,"查错因","保持节奏"))</x:f>
        <x:v>查错因</x:v>
      </x:c>
    </x:row>
    <x:row r="15">
      <x:c r="A15" s="81" t="str">
        <x:f>'数据源_示例'!A15</x:f>
        <x:v>物理</x:v>
      </x:c>
      <x:c r="B15" s="81" t="n">
        <x:f>'数据源_示例'!C15</x:f>
        <x:v>69</x:v>
      </x:c>
      <x:c r="C15" s="81" t="n">
        <x:f>'数据源_示例'!B15</x:f>
        <x:v>80</x:v>
      </x:c>
      <x:c r="D15" s="83" t="n">
        <x:f>'数据源_示例'!G15</x:f>
        <x:v>0.8625</x:v>
      </x:c>
      <x:c r="E15" s="81" t="n">
        <x:f>'数据源_示例'!D15</x:f>
        <x:v>5</x:v>
      </x:c>
      <x:c r="F15" s="81" t="n">
        <x:f>'数据源_示例'!E15</x:f>
        <x:v>31</x:v>
      </x:c>
      <x:c r="G15" s="127" t="n">
        <x:f>'数据源_示例'!K15</x:f>
        <x:v>6</x:v>
      </x:c>
      <x:c r="H15" s="81" t="str">
        <x:f>IF(D15&gt;=0.85,"较好",IF(D15&lt;0.7,"需关注","稳定"))</x:f>
        <x:v>较好</x:v>
      </x:c>
      <x:c r="I15" s="81" t="str">
        <x:f>IF(D15&lt;0.7,"优先补基础",IF(G15&lt;0,"查错因","保持节奏"))</x:f>
        <x:v>保持节奏</x:v>
      </x:c>
    </x:row>
    <x:row r="16">
      <x:c r="A16" s="81" t="str">
        <x:f>'数据源_示例'!A16</x:f>
        <x:v>化学</x:v>
      </x:c>
      <x:c r="B16" s="81" t="n">
        <x:f>'数据源_示例'!C16</x:f>
        <x:v>55</x:v>
      </x:c>
      <x:c r="C16" s="81" t="n">
        <x:f>'数据源_示例'!B16</x:f>
        <x:v>70</x:v>
      </x:c>
      <x:c r="D16" s="83" t="n">
        <x:f>'数据源_示例'!G16</x:f>
        <x:v>0.7857142857142857</x:v>
      </x:c>
      <x:c r="E16" s="81" t="n">
        <x:f>'数据源_示例'!D16</x:f>
        <x:v>11</x:v>
      </x:c>
      <x:c r="F16" s="81" t="n">
        <x:f>'数据源_示例'!E16</x:f>
        <x:v>72</x:v>
      </x:c>
      <x:c r="G16" s="127" t="n">
        <x:f>'数据源_示例'!K16</x:f>
        <x:v>-3</x:v>
      </x:c>
      <x:c r="H16" s="81" t="str">
        <x:f>IF(D16&gt;=0.85,"较好",IF(D16&lt;0.7,"需关注","稳定"))</x:f>
        <x:v>稳定</x:v>
      </x:c>
      <x:c r="I16" s="81" t="str">
        <x:f>IF(D16&lt;0.7,"优先补基础",IF(G16&lt;0,"查错因","保持节奏"))</x:f>
        <x:v>查错因</x:v>
      </x:c>
    </x:row>
    <x:row r="17">
      <x:c r="A17" s="81" t="str">
        <x:f>'数据源_示例'!A17</x:f>
        <x:v>道法</x:v>
      </x:c>
      <x:c r="B17" s="81" t="n">
        <x:f>'数据源_示例'!C17</x:f>
        <x:v>48</x:v>
      </x:c>
      <x:c r="C17" s="81" t="n">
        <x:f>'数据源_示例'!B17</x:f>
        <x:v>60</x:v>
      </x:c>
      <x:c r="D17" s="83" t="n">
        <x:f>'数据源_示例'!G17</x:f>
        <x:v>0.8</x:v>
      </x:c>
      <x:c r="E17" s="81" t="n">
        <x:f>'数据源_示例'!D17</x:f>
        <x:v>10</x:v>
      </x:c>
      <x:c r="F17" s="81" t="n">
        <x:f>'数据源_示例'!E17</x:f>
        <x:v>61</x:v>
      </x:c>
      <x:c r="G17" s="127" t="n">
        <x:f>'数据源_示例'!K17</x:f>
        <x:v>4</x:v>
      </x:c>
      <x:c r="H17" s="81" t="str">
        <x:f>IF(D17&gt;=0.85,"较好",IF(D17&lt;0.7,"需关注","稳定"))</x:f>
        <x:v>稳定</x:v>
      </x:c>
      <x:c r="I17" s="81" t="str">
        <x:f>IF(D17&lt;0.7,"优先补基础",IF(G17&lt;0,"查错因","保持节奏"))</x:f>
        <x:v>保持节奏</x:v>
      </x:c>
    </x:row>
    <x:row r="18">
      <x:c r="A18" s="81" t="str">
        <x:f>'数据源_示例'!A18</x:f>
        <x:v>历史</x:v>
      </x:c>
      <x:c r="B18" s="81" t="n">
        <x:f>'数据源_示例'!C18</x:f>
        <x:v>54</x:v>
      </x:c>
      <x:c r="C18" s="81" t="n">
        <x:f>'数据源_示例'!B18</x:f>
        <x:v>60</x:v>
      </x:c>
      <x:c r="D18" s="83" t="n">
        <x:f>'数据源_示例'!G18</x:f>
        <x:v>0.9</x:v>
      </x:c>
      <x:c r="E18" s="81" t="n">
        <x:f>'数据源_示例'!D18</x:f>
        <x:v>2</x:v>
      </x:c>
      <x:c r="F18" s="81" t="n">
        <x:f>'数据源_示例'!E18</x:f>
        <x:v>16</x:v>
      </x:c>
      <x:c r="G18" s="127" t="n">
        <x:f>'数据源_示例'!K18</x:f>
        <x:v>4</x:v>
      </x:c>
      <x:c r="H18" s="81" t="str">
        <x:f>IF(D18&gt;=0.85,"较好",IF(D18&lt;0.7,"需关注","稳定"))</x:f>
        <x:v>较好</x:v>
      </x:c>
      <x:c r="I18" s="81" t="str">
        <x:f>IF(D18&lt;0.7,"优先补基础",IF(G18&lt;0,"查错因","保持节奏"))</x:f>
        <x:v>保持节奏</x:v>
      </x:c>
    </x:row>
    <x:row r="19">
      <x:c r="A19" s="81" t="str">
        <x:f>'数据源_示例'!A19</x:f>
        <x:v>体育</x:v>
      </x:c>
      <x:c r="B19" s="81" t="n">
        <x:f>'数据源_示例'!C19</x:f>
        <x:v>46</x:v>
      </x:c>
      <x:c r="C19" s="81" t="n">
        <x:f>'数据源_示例'!B19</x:f>
        <x:v>50</x:v>
      </x:c>
      <x:c r="D19" s="83" t="n">
        <x:f>'数据源_示例'!G19</x:f>
        <x:v>0.92</x:v>
      </x:c>
      <x:c r="E19" s="81" t="n">
        <x:f>'数据源_示例'!D19</x:f>
        <x:v>6</x:v>
      </x:c>
      <x:c r="F19" s="81" t="n">
        <x:f>'数据源_示例'!E19</x:f>
        <x:v>28</x:v>
      </x:c>
      <x:c r="G19" s="127" t="n">
        <x:f>'数据源_示例'!K19</x:f>
        <x:v>1</x:v>
      </x:c>
      <x:c r="H19" s="81" t="str">
        <x:f>IF(D19&gt;=0.85,"较好",IF(D19&lt;0.7,"需关注","稳定"))</x:f>
        <x:v>较好</x:v>
      </x:c>
      <x:c r="I19" s="81" t="str">
        <x:f>IF(D19&lt;0.7,"优先补基础",IF(G19&lt;0,"查错因","保持节奏"))</x:f>
        <x:v>保持节奏</x:v>
      </x:c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</x:row>
    <x:row r="21">
      <x:c r="A21" s="72" t="str">
        <x:v>二、孩子目前的主要特点</x:v>
      </x:c>
      <x:c r="B21" s="72"/>
      <x:c r="C21" s="72"/>
      <x:c r="D21" s="72"/>
      <x:c r="E21" s="72"/>
      <x:c r="F21" s="72"/>
      <x:c r="G21" s="72"/>
      <x:c r="H21" s="72"/>
      <x:c r="I21" s="72"/>
    </x:row>
    <x:row r="22">
      <x:c r="A22" s="105" t="str">
        <x:f>"优势： "&amp;INDEX('数据源_示例'!A12:A19,MATCH(MAX('数据源_示例'!G12:G19),'数据源_示例'!G12:G19,0))&amp;" 当前表现较突出；"&amp;CHAR(10)&amp;"关注： "&amp;INDEX('数据源_示例'!A12:A19,MATCH(MIN('数据源_示例'!G12:G19),'数据源_示例'!G12:G19,0))&amp;" 得分率相对偏低。"&amp;CHAR(10)&amp;IF('数据源_示例'!E9&gt;0,"整体排名较上次提升，学习状态呈积极变化。","当前更需要保持节奏，并通过错题分析找出影响总分的主要因素。")</x:f>
        <x:v>优势： 体育 当前表现较突出；
关注： 英语 得分率相对偏低。
整体排名较上次提升，学习状态呈积极变化。</x:v>
      </x:c>
      <x:c r="B22" s="105"/>
      <x:c r="C22" s="105"/>
      <x:c r="D22" s="105"/>
      <x:c r="E22" s="105"/>
      <x:c r="F22" s="105"/>
      <x:c r="G22" s="105"/>
      <x:c r="H22" s="105"/>
      <x:c r="I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</x:row>
    <x:row r="25">
      <x:c r="A25" s="105"/>
      <x:c r="B25" s="105"/>
      <x:c r="C25" s="105"/>
      <x:c r="D25" s="105"/>
      <x:c r="E25" s="105"/>
      <x:c r="F25" s="105"/>
      <x:c r="G25" s="105"/>
      <x:c r="H25" s="105"/>
      <x:c r="I25" s="105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</x:row>
    <x:row r="27">
      <x:c r="A27" s="72" t="str">
        <x:v>三、下一阶段建议</x:v>
      </x:c>
      <x:c r="B27" s="72"/>
      <x:c r="C27" s="72"/>
      <x:c r="D27" s="72"/>
      <x:c r="E27" s="72"/>
      <x:c r="F27" s="72"/>
      <x:c r="G27" s="72"/>
      <x:c r="H27" s="72"/>
      <x:c r="I27" s="72"/>
    </x:row>
    <x:row r="28">
      <x:c r="A28" s="149" t="str">
        <x:v>学生侧
① 每天固定整理当日错题，写清错误原因。
② 薄弱学科优先保证基础题正确率，再逐步增加综合题。
③ 每周做一次小复盘：本周哪一科最需要补、下周具体补什么。</x:v>
      </x:c>
      <x:c r="B28" s="149"/>
      <x:c r="C28" s="149"/>
      <x:c r="D28" s="149"/>
      <x:c r="E28" s="149"/>
      <x:c r="F28" s="152" t="str">
        <x:v>家长侧
① 关注学习节奏和完成质量，不只盯单次分数。
② 连续两次明显退步时，再与老师共同分析原因。
③ 尽量保证规律作息，考试前避免额外增加过重任务。</x:v>
      </x:c>
      <x:c r="G28" s="152"/>
      <x:c r="H28" s="152"/>
      <x:c r="I28" s="152"/>
    </x:row>
    <x:row r="29">
      <x:c r="A29" s="149"/>
      <x:c r="B29" s="149"/>
      <x:c r="C29" s="149"/>
      <x:c r="D29" s="149"/>
      <x:c r="E29" s="149"/>
      <x:c r="F29" s="152"/>
      <x:c r="G29" s="152"/>
      <x:c r="H29" s="152"/>
      <x:c r="I29" s="152"/>
    </x:row>
    <x:row r="30">
      <x:c r="A30" s="149"/>
      <x:c r="B30" s="149"/>
      <x:c r="C30" s="149"/>
      <x:c r="D30" s="149"/>
      <x:c r="E30" s="149"/>
      <x:c r="F30" s="152"/>
      <x:c r="G30" s="152"/>
      <x:c r="H30" s="152"/>
      <x:c r="I30" s="152"/>
    </x:row>
    <x:row r="31">
      <x:c r="A31" s="149"/>
      <x:c r="B31" s="149"/>
      <x:c r="C31" s="149"/>
      <x:c r="D31" s="149"/>
      <x:c r="E31" s="149"/>
      <x:c r="F31" s="152"/>
      <x:c r="G31" s="152"/>
      <x:c r="H31" s="152"/>
      <x:c r="I31" s="152"/>
    </x:row>
    <x:row r="32">
      <x:c r="A32" s="149"/>
      <x:c r="B32" s="149"/>
      <x:c r="C32" s="149"/>
      <x:c r="D32" s="149"/>
      <x:c r="E32" s="149"/>
      <x:c r="F32" s="152"/>
      <x:c r="G32" s="152"/>
      <x:c r="H32" s="152"/>
      <x:c r="I32" s="152"/>
    </x:row>
    <x:row r="33">
      <x:c r="A33" s="149"/>
      <x:c r="B33" s="149"/>
      <x:c r="C33" s="149"/>
      <x:c r="D33" s="149"/>
      <x:c r="E33" s="149"/>
      <x:c r="F33" s="152"/>
      <x:c r="G33" s="152"/>
      <x:c r="H33" s="152"/>
      <x:c r="I33" s="152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</x:row>
    <x:row r="35">
      <x:c r="A35" s="109" t="str">
        <x:v>打印建议：A4 单页；纵向；窄边距；缩放为 1 页宽 × 1 页高。</x:v>
      </x:c>
      <x:c r="B35" s="109"/>
      <x:c r="C35" s="109"/>
      <x:c r="D35" s="109"/>
      <x:c r="E35" s="109"/>
      <x:c r="F35" s="109"/>
      <x:c r="G35" s="109"/>
      <x:c r="H35" s="109"/>
      <x:c r="I35" s="109"/>
    </x:row>
  </x:sheetData>
  <x:mergeCells>
    <x:mergeCell ref="A1:I2"/>
    <x:mergeCell ref="B3:C3"/>
    <x:mergeCell ref="E3:F3"/>
    <x:mergeCell ref="H3:I3"/>
    <x:mergeCell ref="A5:C8"/>
    <x:mergeCell ref="D5:F8"/>
    <x:mergeCell ref="G5:I8"/>
    <x:mergeCell ref="A10:I10"/>
    <x:mergeCell ref="A21:I21"/>
    <x:mergeCell ref="A22:I25"/>
    <x:mergeCell ref="A27:I27"/>
    <x:mergeCell ref="A28:E33"/>
    <x:mergeCell ref="F28:I33"/>
    <x:mergeCell ref="A35:I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2" hidden="0" customWidth="1"/>
    <x:col min="5" max="5" width="22" hidden="0" customWidth="1"/>
    <x:col min="6" max="6" width="30" hidden="0" customWidth="1"/>
  </x:cols>
  <x:sheetData>
    <x:row r="1">
      <x:c r="A1" s="4" t="str">
        <x:v>系统接入说明｜学生个人成绩分析报告</x:v>
      </x:c>
      <x:c r="B1" s="4"/>
      <x:c r="C1" s="4"/>
      <x:c r="D1" s="4"/>
      <x:c r="E1" s="4"/>
      <x:c r="F1" s="4"/>
    </x:row>
    <x:row r="3">
      <x:c r="A3" s="10" t="str">
        <x:v>系统字段</x:v>
      </x:c>
      <x:c r="B3" s="10" t="str">
        <x:v>数据源位置</x:v>
      </x:c>
      <x:c r="C3" s="10" t="str">
        <x:v>示例</x:v>
      </x:c>
      <x:c r="D3" s="10" t="str">
        <x:v>是否必填</x:v>
      </x:c>
      <x:c r="E3" s="10" t="str">
        <x:v>用途</x:v>
      </x:c>
      <x:c r="F3" s="10" t="str">
        <x:v>备注</x:v>
      </x:c>
    </x:row>
    <x:row r="4">
      <x:c r="A4" s="14" t="str">
        <x:v>student_name</x:v>
      </x:c>
      <x:c r="B4" s="14" t="str">
        <x:v>B4</x:v>
      </x:c>
      <x:c r="C4" s="14" t="str">
        <x:v>张三</x:v>
      </x:c>
      <x:c r="D4" s="14" t="str">
        <x:v>是</x:v>
      </x:c>
      <x:c r="E4" s="14" t="str">
        <x:v>姓名</x:v>
      </x:c>
      <x:c r="F4" s="14" t="str">
        <x:v>字符串</x:v>
      </x:c>
    </x:row>
    <x:row r="5">
      <x:c r="A5" s="14" t="str">
        <x:v>class_name</x:v>
      </x:c>
      <x:c r="B5" s="14" t="str">
        <x:v>B5</x:v>
      </x:c>
      <x:c r="C5" s="14" t="str">
        <x:v>九年级6班</x:v>
      </x:c>
      <x:c r="D5" s="14" t="str">
        <x:v>是</x:v>
      </x:c>
      <x:c r="E5" s="14" t="str">
        <x:v>班级</x:v>
      </x:c>
      <x:c r="F5" s="14" t="str">
        <x:v>字符串</x:v>
      </x:c>
    </x:row>
    <x:row r="6">
      <x:c r="A6" s="14" t="str">
        <x:v>student_id</x:v>
      </x:c>
      <x:c r="B6" s="14" t="str">
        <x:v>B6</x:v>
      </x:c>
      <x:c r="C6" s="14" t="str">
        <x:v>20270001</x:v>
      </x:c>
      <x:c r="D6" s="14" t="str">
        <x:v>否</x:v>
      </x:c>
      <x:c r="E6" s="14" t="str">
        <x:v>学号/编号</x:v>
      </x:c>
      <x:c r="F6" s="14" t="str">
        <x:v>可隐藏</x:v>
      </x:c>
    </x:row>
    <x:row r="7">
      <x:c r="A7" s="14" t="str">
        <x:v>exam_name</x:v>
      </x:c>
      <x:c r="B7" s="14" t="str">
        <x:v>B7</x:v>
      </x:c>
      <x:c r="C7" s="14" t="str">
        <x:v>九月月考</x:v>
      </x:c>
      <x:c r="D7" s="14" t="str">
        <x:v>是</x:v>
      </x:c>
      <x:c r="E7" s="14" t="str">
        <x:v>当前考试</x:v>
      </x:c>
      <x:c r="F7" s="14" t="str">
        <x:v>字符串</x:v>
      </x:c>
    </x:row>
    <x:row r="8">
      <x:c r="A8" s="14" t="str">
        <x:v>class_size</x:v>
      </x:c>
      <x:c r="B8" s="14" t="str">
        <x:v>B8</x:v>
      </x:c>
      <x:c r="C8" s="14" t="str">
        <x:v>51</x:v>
      </x:c>
      <x:c r="D8" s="14" t="str">
        <x:v>否</x:v>
      </x:c>
      <x:c r="E8" s="14" t="str">
        <x:v>班级人数</x:v>
      </x:c>
      <x:c r="F8" s="14" t="str">
        <x:v>扩展统计</x:v>
      </x:c>
    </x:row>
    <x:row r="9">
      <x:c r="A9" s="14" t="str">
        <x:v>grade_size</x:v>
      </x:c>
      <x:c r="B9" s="14" t="str">
        <x:v>B9</x:v>
      </x:c>
      <x:c r="C9" s="14" t="str">
        <x:v>319</x:v>
      </x:c>
      <x:c r="D9" s="14" t="str">
        <x:v>否</x:v>
      </x:c>
      <x:c r="E9" s="14" t="str">
        <x:v>年级人数</x:v>
      </x:c>
      <x:c r="F9" s="14" t="str">
        <x:v>扩展统计</x:v>
      </x:c>
    </x:row>
    <x:row r="10">
      <x:c r="A10" s="14" t="str">
        <x:v>subject_rows</x:v>
      </x:c>
      <x:c r="B10" s="14" t="str">
        <x:v>A12:K19</x:v>
      </x:c>
      <x:c r="C10" s="14" t="str">
        <x:v>8个学科</x:v>
      </x:c>
      <x:c r="D10" s="14" t="str">
        <x:v>是</x:v>
      </x:c>
      <x:c r="E10" s="14" t="str">
        <x:v>成绩/排名/均分/上次成绩</x:v>
      </x:c>
      <x:c r="F10" s="14" t="str">
        <x:v>按实际科目增删</x:v>
      </x:c>
    </x:row>
    <x:row r="11">
      <x:c r="A11" s="14" t="str">
        <x:v>history_rows</x:v>
      </x:c>
      <x:c r="B11" s="14" t="str">
        <x:v>A23:F28</x:v>
      </x:c>
      <x:c r="C11" s="14" t="str">
        <x:v>最近6次</x:v>
      </x:c>
      <x:c r="D11" s="14" t="str">
        <x:v>否</x:v>
      </x:c>
      <x:c r="E11" s="14" t="str">
        <x:v>趋势分析</x:v>
      </x:c>
      <x:c r="F11" s="14" t="str">
        <x:v>建议保留4–6次</x:v>
      </x:c>
    </x:row>
    <x:row r="12">
      <x:c r="A12" s="14" t="str">
        <x:v>total_score</x:v>
      </x:c>
      <x:c r="B12" s="14" t="str">
        <x:v>E4</x:v>
      </x:c>
      <x:c r="C12" s="14" t="str">
        <x:v>568</x:v>
      </x:c>
      <x:c r="D12" s="14" t="str">
        <x:v>公式</x:v>
      </x:c>
      <x:c r="E12" s="14" t="str">
        <x:v>总分</x:v>
      </x:c>
      <x:c r="F12" s="14" t="str">
        <x:v>自动汇总</x:v>
      </x:c>
    </x:row>
    <x:row r="13">
      <x:c r="A13" s="14" t="str">
        <x:v>score_rate</x:v>
      </x:c>
      <x:c r="B13" s="14" t="str">
        <x:v>E6</x:v>
      </x:c>
      <x:c r="C13" s="14" t="str">
        <x:v>83.5%</x:v>
      </x:c>
      <x:c r="D13" s="14" t="str">
        <x:v>公式</x:v>
      </x:c>
      <x:c r="E13" s="14" t="str">
        <x:v>总得分率</x:v>
      </x:c>
      <x:c r="F13" s="14" t="str">
        <x:v>自动计算</x:v>
      </x:c>
    </x:row>
    <x:row r="14">
      <x:c r="A14" s="14" t="str">
        <x:v>class_rank</x:v>
      </x:c>
      <x:c r="B14" s="14" t="str">
        <x:v>E7</x:v>
      </x:c>
      <x:c r="C14" s="14" t="str">
        <x:v>7</x:v>
      </x:c>
      <x:c r="D14" s="14" t="str">
        <x:v>是</x:v>
      </x:c>
      <x:c r="E14" s="14" t="str">
        <x:v>班级排名</x:v>
      </x:c>
      <x:c r="F14" s="14" t="str">
        <x:v>系统写入</x:v>
      </x:c>
    </x:row>
    <x:row r="15">
      <x:c r="A15" s="14" t="str">
        <x:v>grade_rank</x:v>
      </x:c>
      <x:c r="B15" s="14" t="str">
        <x:v>E8</x:v>
      </x:c>
      <x:c r="C15" s="14" t="str">
        <x:v>49</x:v>
      </x:c>
      <x:c r="D15" s="14" t="str">
        <x:v>是</x:v>
      </x:c>
      <x:c r="E15" s="14" t="str">
        <x:v>年级排名</x:v>
      </x:c>
      <x:c r="F15" s="14" t="str">
        <x:v>系统写入</x:v>
      </x:c>
    </x:row>
    <x:row r="16">
      <x:c r="A16" s="14" t="str">
        <x:v>rank_change</x:v>
      </x:c>
      <x:c r="B16" s="14" t="str">
        <x:v>E9</x:v>
      </x:c>
      <x:c r="C16" s="14" t="str">
        <x:v>13</x:v>
      </x:c>
      <x:c r="D16" s="14" t="str">
        <x:v>是</x:v>
      </x:c>
      <x:c r="E16" s="14" t="str">
        <x:v>较上次年级排名</x:v>
      </x:c>
      <x:c r="F16" s="14" t="str">
        <x:v>正数=进步</x:v>
      </x:c>
    </x:row>
    <x:row r="18">
      <x:c r="A18" s="155" t="str">
        <x:v>导出建议</x:v>
      </x:c>
      <x:c r="B18" s="155"/>
      <x:c r="C18" s="155"/>
      <x:c r="D18" s="155"/>
      <x:c r="E18" s="155"/>
      <x:c r="F18" s="155"/>
    </x:row>
    <x:row r="19">
      <x:c r="A19" s="106" t="str">
        <x:v>1. 系统只需向“数据源_示例”固定位置写入数据，四个报告页自动刷新。
2. 实际导出时可只保留所选模板工作表，也可以一名学生一个 xlsx。
3. 打印/转 PDF：A4、纵向、窄边距、缩放为 1 页宽 × 1 页高。
4. 模板全部以单元格、公式和条件格式为主，便于 Python/Java/JS 后端写入。
5. 如果学科数变化，建议系统动态增删学科行；不要把过多学科横向塞入一页。
6. 批量生成班级报告时，建议文件名：班级_姓名_考试名称.xlsx。</x:v>
      </x:c>
      <x:c r="B19" s="106"/>
      <x:c r="C19" s="106"/>
      <x:c r="D19" s="106"/>
      <x:c r="E19" s="106"/>
      <x:c r="F19" s="106"/>
    </x:row>
    <x:row r="20">
      <x:c r="A20" s="106"/>
      <x:c r="B20" s="106"/>
      <x:c r="C20" s="106"/>
      <x:c r="D20" s="106"/>
      <x:c r="E20" s="106"/>
      <x:c r="F20" s="106"/>
    </x:row>
    <x:row r="21">
      <x:c r="A21" s="106"/>
      <x:c r="B21" s="106"/>
      <x:c r="C21" s="106"/>
      <x:c r="D21" s="106"/>
      <x:c r="E21" s="106"/>
      <x:c r="F21" s="106"/>
    </x:row>
    <x:row r="22">
      <x:c r="A22" s="106"/>
      <x:c r="B22" s="106"/>
      <x:c r="C22" s="106"/>
      <x:c r="D22" s="106"/>
      <x:c r="E22" s="106"/>
      <x:c r="F22" s="106"/>
    </x:row>
    <x:row r="23">
      <x:c r="A23" s="106"/>
      <x:c r="B23" s="106"/>
      <x:c r="C23" s="106"/>
      <x:c r="D23" s="106"/>
      <x:c r="E23" s="106"/>
      <x:c r="F23" s="106"/>
    </x:row>
    <x:row r="24">
      <x:c r="A24" s="106"/>
      <x:c r="B24" s="106"/>
      <x:c r="C24" s="106"/>
      <x:c r="D24" s="106"/>
      <x:c r="E24" s="106"/>
      <x:c r="F24" s="106"/>
    </x:row>
    <x:row r="25">
      <x:c r="A25" s="106"/>
      <x:c r="B25" s="106"/>
      <x:c r="C25" s="106"/>
      <x:c r="D25" s="106"/>
      <x:c r="E25" s="106"/>
      <x:c r="F25" s="106"/>
    </x:row>
  </x:sheetData>
  <x:mergeCells>
    <x:mergeCell ref="A1:F1"/>
    <x:mergeCell ref="A18:F18"/>
    <x:mergeCell ref="A19:F25"/>
  </x:mergeCells>
  <x:pageMargins left="0.7" right="0.7" top="0.75" bottom="0.75" header="0.3" footer="0.3"/>
</x:worksheet>
</file>